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November tests" sheetId="2" state="visible" r:id="rId4"/>
    <sheet name="Phases" sheetId="3" state="visible" r:id="rId5"/>
    <sheet name="Resource mix" sheetId="4" state="visible" r:id="rId6"/>
    <sheet name="Subject plans" sheetId="5" state="visible" r:id="rId7"/>
    <sheet name="Weekly plan" sheetId="6" state="visible" r:id="rId8"/>
    <sheet name="Session template" sheetId="7" state="visible" r:id="rId9"/>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From your timetable: 2 h Mon–Thu (8 h) + 4 h Sat + 4 h Sun = 16 h. No Friday sessions.</t>
        </r>
      </text>
    </comment>
  </commentList>
</comments>
</file>

<file path=xl/sharedStrings.xml><?xml version="1.0" encoding="utf-8"?>
<sst xmlns="http://schemas.openxmlformats.org/spreadsheetml/2006/main" count="651" uniqueCount="409">
  <si>
    <t xml:space="preserve">GCSE study plan – aiming for top grades</t>
  </si>
  <si>
    <t xml:space="preserve">Built 14 Oct 2026. Yellow cells are yours to edit; everything else updates from them.</t>
  </si>
  <si>
    <t xml:space="preserve">The rules that make revision stick</t>
  </si>
  <si>
    <t xml:space="preserve">1. Test, don't reread</t>
  </si>
  <si>
    <t xml:space="preserve">Every session should make you pull answers out of your head (flashcards, blurting, questions, papers). Rereading and highlighting feel productive but are among the least effective techniques (Dunlosky et al., 2013, "Improving Students' Learning With Effective Learning Techniques", Psychological Science in the Public Interest).</t>
  </si>
  <si>
    <t xml:space="preserve">2. Space it out</t>
  </si>
  <si>
    <t xml:space="preserve">Little and often beats cramming. The app's flashcards (FSRS) schedule reviews just before you'd forget – do your due cards every day, including weekends.</t>
  </si>
  <si>
    <t xml:space="preserve">3. Mix it up (interleave)</t>
  </si>
  <si>
    <t xml:space="preserve">Once a topic is learnt, practise it mixed with others (mixed question sets, full papers). It feels harder but transfers better to the exam.</t>
  </si>
  <si>
    <t xml:space="preserve">4. Practise the exam itself</t>
  </si>
  <si>
    <t xml:space="preserve">Knowledge gets you most marks; exam technique gets the last 10–20%. Do timed questions and papers, mark them strictly with the mark scheme, and learn the wording examiners reward.</t>
  </si>
  <si>
    <t xml:space="preserve">5. Close the loop on mistakes</t>
  </si>
  <si>
    <t xml:space="preserve">Every mark you drop goes into the app's Past papers → mistakes log, then becomes a flashcard. The same mistake should never cost you twice.</t>
  </si>
  <si>
    <t xml:space="preserve">6. Sleep and breaks</t>
  </si>
  <si>
    <t xml:space="preserve">40-minute sessions with short breaks; 8–9 hours' sleep consolidates memory. Late-night cramming costs more than it gains.</t>
  </si>
  <si>
    <t xml:space="preserve">How to use this workbook</t>
  </si>
  <si>
    <t xml:space="preserve">November tests</t>
  </si>
  <si>
    <t xml:space="preserve">START HERE NOW: your day-by-day plan for the early-November Biology and English Language tests, a Biology topic tracker that puts your weakest tested topics first, and an English Language skills tracker.</t>
  </si>
  <si>
    <t xml:space="preserve">Resource mix</t>
  </si>
  <si>
    <t xml:space="preserve">For each subject and type of topic: how to split your time between flashcards, blurting, topic questions, past papers and writing practice – one mix for now → mocks and one for after mocks.</t>
  </si>
  <si>
    <t xml:space="preserve">Phases</t>
  </si>
  <si>
    <t xml:space="preserve">The five phases between now and your exams, with dates you can edit (your mock and exam dates).</t>
  </si>
  <si>
    <t xml:space="preserve">Weekly plan</t>
  </si>
  <si>
    <t xml:space="preserve">A week-by-week checklist from now to the end of exams with targets per week. Tick the "Done" column as you go.</t>
  </si>
  <si>
    <t xml:space="preserve">Subject plans</t>
  </si>
  <si>
    <t xml:space="preserve">For each subject: the papers, what full marks demands, the best resources and the traps to avoid, plus your weekly hours.</t>
  </si>
  <si>
    <t xml:space="preserve">Session template</t>
  </si>
  <si>
    <t xml:space="preserve">What to do in each 40-minute session, minute by minute, by session type.</t>
  </si>
  <si>
    <t xml:space="preserve">Assumptions</t>
  </si>
  <si>
    <t xml:space="preserve">Exam boards are taken from your flashcard decks (Edexcel IGCSE sciences, CS and English Literature; Edexcel GCSE History; OCR D&amp;T; AQA German). English Language and Maths boards weren't given – assumed Edexcel IGCSE English Language A (4EA1) and Edexcel IGCSE Maths A (4MA1); change them on Subject plans if different. Exam dates are estimates for summer 2027 – replace them on Phases when the timetable is published. Weekly hours assume your timetable: 2 h Mon–Thu, 4 h Sat and Sun (16 h/week).</t>
  </si>
  <si>
    <t xml:space="preserve">November tests: Biology + English Language</t>
  </si>
  <si>
    <t xml:space="preserve">Year 9–10 content. Edit the yellow cells: test dates, which Biology topics are on the test, and your confidence (1–5) from the app's Strengths &amp; weaknesses page.</t>
  </si>
  <si>
    <t xml:space="preserve">Biology test</t>
  </si>
  <si>
    <t xml:space="preserve">Assumed "very early November" – change to your real dates.</t>
  </si>
  <si>
    <t xml:space="preserve">Hours per week until the tests</t>
  </si>
  <si>
    <t xml:space="preserve">English Language test</t>
  </si>
  <si>
    <t xml:space="preserve">Biology</t>
  </si>
  <si>
    <t xml:space="preserve">Plus daily flashcards for every subject (keeps your January material ticking over).</t>
  </si>
  <si>
    <t xml:space="preserve">Days to Biology test</t>
  </si>
  <si>
    <t xml:space="preserve">English Language</t>
  </si>
  <si>
    <t xml:space="preserve">Everything else (light, for January)</t>
  </si>
  <si>
    <t xml:space="preserve">Total</t>
  </si>
  <si>
    <t xml:space="preserve">Biology topic tracker (Edexcel IGCSE 4BI1 topics in your app deck)</t>
  </si>
  <si>
    <t xml:space="preserve">Topic</t>
  </si>
  <si>
    <t xml:space="preserve">On the test? (Yes/No)</t>
  </si>
  <si>
    <t xml:space="preserve">Confidence 1–5</t>
  </si>
  <si>
    <t xml:space="preserve">Priority (higher = revise first)</t>
  </si>
  <si>
    <t xml:space="preserve">Last blurt %</t>
  </si>
  <si>
    <t xml:space="preserve">Topic questions done</t>
  </si>
  <si>
    <t xml:space="preserve">Notes</t>
  </si>
  <si>
    <t xml:space="preserve">1 Variety of living organisms</t>
  </si>
  <si>
    <t xml:space="preserve">Yes</t>
  </si>
  <si>
    <t xml:space="preserve">2a–b Cells and organisation</t>
  </si>
  <si>
    <t xml:space="preserve">2c Biological molecules (incl. enzymes, food tests)</t>
  </si>
  <si>
    <t xml:space="preserve">2d Movement of substances (diffusion, osmosis, active transport)</t>
  </si>
  <si>
    <t xml:space="preserve">2e Human nutrition</t>
  </si>
  <si>
    <t xml:space="preserve">2e Plant nutrition (photosynthesis)</t>
  </si>
  <si>
    <t xml:space="preserve">2f Respiration</t>
  </si>
  <si>
    <t xml:space="preserve">2g Gas exchange</t>
  </si>
  <si>
    <t xml:space="preserve">2h Transport</t>
  </si>
  <si>
    <t xml:space="preserve">2i Excretion</t>
  </si>
  <si>
    <t xml:space="preserve">No</t>
  </si>
  <si>
    <t xml:space="preserve">2j Coordination and response</t>
  </si>
  <si>
    <t xml:space="preserve">3a Reproduction</t>
  </si>
  <si>
    <t xml:space="preserve">3b Inheritance</t>
  </si>
  <si>
    <t xml:space="preserve">4 Ecology and environment</t>
  </si>
  <si>
    <t xml:space="preserve">5 Use of biological resources</t>
  </si>
  <si>
    <t xml:space="preserve">Topics on the test</t>
  </si>
  <si>
    <t xml:space="preserve">Which Year 9–10 topics are tested is a guess (topics 1–2h) – set "On the test?" to match what your teacher said. Orange rows = revise first. In the app, study just these topics with Flashcards → Browse/Custom study (search e.g. deck:"Biology::2h*"), and blurt each one in Tools → Blurting.</t>
  </si>
  <si>
    <t xml:space="preserve">English Language skills tracker (assumed Edexcel IGCSE English Language A, 4EA1)</t>
  </si>
  <si>
    <t xml:space="preserve">Skill</t>
  </si>
  <si>
    <t xml:space="preserve">How to practise</t>
  </si>
  <si>
    <t xml:space="preserve">Pieces done</t>
  </si>
  <si>
    <t xml:space="preserve">Last mark</t>
  </si>
  <si>
    <t xml:space="preserve">Out of</t>
  </si>
  <si>
    <t xml:space="preserve">%</t>
  </si>
  <si>
    <t xml:space="preserve">What to fix</t>
  </si>
  <si>
    <t xml:space="preserve">Retrieving information (short questions)</t>
  </si>
  <si>
    <t xml:space="preserve">Quick questions on an unseen extract – 1 mark per point, quote briefly</t>
  </si>
  <si>
    <t xml:space="preserve">Language analysis</t>
  </si>
  <si>
    <t xml:space="preserve">Pick 3 quotations, name the technique, explain the effect on the reader (zoom in on single words)</t>
  </si>
  <si>
    <t xml:space="preserve">Structure analysis</t>
  </si>
  <si>
    <t xml:space="preserve">Opening, shifts in focus, pace, ending – why the writer orders it this way</t>
  </si>
  <si>
    <t xml:space="preserve">Comparing two texts</t>
  </si>
  <si>
    <t xml:space="preserve">Compare ideas and methods throughout with connectives (whereas, similarly)</t>
  </si>
  <si>
    <t xml:space="preserve">Transactional writing (article, letter, speech)</t>
  </si>
  <si>
    <t xml:space="preserve">Plan 5 min, write 40 min: audience, purpose, form; rhetorical devices; check SPaG</t>
  </si>
  <si>
    <t xml:space="preserve">Imaginative writing (story/description)</t>
  </si>
  <si>
    <t xml:space="preserve">Plan a clear structure; show-don't-tell; varied sentences; ambitious vocabulary; check SPaG</t>
  </si>
  <si>
    <t xml:space="preserve">Marks out of are a guide for full-length questions – change them to match your test. Mark each piece with the mark scheme or the app's Tools → Mark my answer (English Language question types are built in).</t>
  </si>
  <si>
    <t xml:space="preserve">Day-by-day plan until the tests (follows your timetable: 2 h Mon–Thu, Fri off, 4 h Sat–Sun)</t>
  </si>
  <si>
    <t xml:space="preserve">Date</t>
  </si>
  <si>
    <t xml:space="preserve">Session 1 (40 min)</t>
  </si>
  <si>
    <t xml:space="preserve">Session 2 (40 min)</t>
  </si>
  <si>
    <t xml:space="preserve">Session 3 (40 min)</t>
  </si>
  <si>
    <t xml:space="preserve">Weekend extra sessions</t>
  </si>
  <si>
    <t xml:space="preserve">Done?</t>
  </si>
  <si>
    <t xml:space="preserve">Flashcards: all due cards (Biology first); then Biology: blurt the top-priority topic (Tools → Blurting) → learn the gaps → 5 topic questions</t>
  </si>
  <si>
    <t xml:space="preserve">Biology: timed topic question set (SME/PMT) on the next-priority topic; mark; mistakes → cards</t>
  </si>
  <si>
    <t xml:space="preserve">English Language: structure + comparison practice on two short extracts</t>
  </si>
  <si>
    <t xml:space="preserve">English Language: one extract – language analysis answer (timed); mark with "Mark my answer"</t>
  </si>
  <si>
    <t xml:space="preserve">Flashcards: all due cards (Biology first) + all other subjects</t>
  </si>
  <si>
    <t xml:space="preserve">Optional: Biology – one blurt of a weak topic</t>
  </si>
  <si>
    <t xml:space="preserve">English Language: one writing piece (plan 5 + write 35); mark; note SPaG fixes</t>
  </si>
  <si>
    <t xml:space="preserve">Session 4: Biology: blurt the top-priority topic (Tools → Blurting) → learn the gaps → 5 topic questions · Session 5: English Language: one extract – language analysis answer (timed); mark with "Mark my answer" · Session 6: January mocks – one session for English Lit or History (quotes/flashcards + blurt)</t>
  </si>
  <si>
    <t xml:space="preserve">Flashcards: all due cards (Biology first); then Biology: timed topic question set (SME/PMT) on the next-priority topic; mark; mistakes → cards</t>
  </si>
  <si>
    <t xml:space="preserve">Biology: blurt the top-priority topic (Tools → Blurting) → learn the gaps → 5 topic questions</t>
  </si>
  <si>
    <t xml:space="preserve">Session 4: Biology: blurt the top-priority topic (Tools → Blurting) → learn the gaps → 5 topic questions · Session 5: English Language: structure + comparison practice on two short extracts · Session 6: January mocks – one session for English Lit or History (quotes/flashcards + blurt)</t>
  </si>
  <si>
    <t xml:space="preserve">Session 4: Biology: mixed questions across all tested topics (timed); mark strictly · Session 5: English Language: one extract – language analysis answer (timed); mark with "Mark my answer" · Session 6: January mocks – one session for English Lit or History (quotes/flashcards + blurt)</t>
  </si>
  <si>
    <t xml:space="preserve">Session 4: Biology: mixed questions across all tested topics (timed); mark strictly · Session 5: English Language: structure + comparison practice on two short extracts · Session 6: January mocks – one session for English Lit or History (quotes/flashcards + blurt)</t>
  </si>
  <si>
    <t xml:space="preserve">Flashcards: all due cards (Biology first); then Biology: mixed questions across all tested topics (timed); mark strictly</t>
  </si>
  <si>
    <t xml:space="preserve">Biology: blurt your 2 weakest topics one last time</t>
  </si>
  <si>
    <t xml:space="preserve">Biology: flashcards + glance at practical methods and definitions</t>
  </si>
  <si>
    <t xml:space="preserve">Light: pack equipment, early night (no new content)</t>
  </si>
  <si>
    <t xml:space="preserve">BIOLOGY TEST – good luck!</t>
  </si>
  <si>
    <t xml:space="preserve">Evening: English Language – reread your best writing piece and your technique list; early night</t>
  </si>
  <si>
    <t xml:space="preserve">ENGLISH LANGUAGE TEST – good luck!</t>
  </si>
  <si>
    <t xml:space="preserve">Evening: due flashcards only – start January mock revision tomorrow</t>
  </si>
  <si>
    <t xml:space="preserve">"Top-priority topic" = the highest Priority in the Biology tracker above; update Confidence after each blurt so the order changes as you improve. Half-term (if yours is the week of 26 Oct) = add 1–2 extra Biology sessions a day. The dates and tasks assume the tests on Mon 2 / Tue 3 Nov – if they move, shift the plan by the same number of days.</t>
  </si>
  <si>
    <t xml:space="preserve">Phases from now to the exams</t>
  </si>
  <si>
    <t xml:space="preserve">Edit the yellow dates (mocks, Easter, first and last exam). Weeks are calculated.</t>
  </si>
  <si>
    <t xml:space="preserve">Phase</t>
  </si>
  <si>
    <t xml:space="preserve">Starts</t>
  </si>
  <si>
    <t xml:space="preserve">Ends</t>
  </si>
  <si>
    <t xml:space="preserve">Weeks</t>
  </si>
  <si>
    <t xml:space="preserve">Main goal</t>
  </si>
  <si>
    <t xml:space="preserve">Flashcards</t>
  </si>
  <si>
    <t xml:space="preserve">Time split (learn &amp; recall / questions / papers &amp; essays / mistakes)</t>
  </si>
  <si>
    <t xml:space="preserve">Finish the phase able to…</t>
  </si>
  <si>
    <t xml:space="preserve">0 November tests</t>
  </si>
  <si>
    <t xml:space="preserve">Biology (Year 9–10 topics) and English Language tests in early November – see the November tests sheet.</t>
  </si>
  <si>
    <t xml:space="preserve">All due cards daily (all subjects); Biology cards first</t>
  </si>
  <si>
    <t xml:space="preserve">Biology &amp; English Language: 30% / 35% / 25% / 10%</t>
  </si>
  <si>
    <t xml:space="preserve">walk into both tests having blurted every tested Biology topic and done timed English Language practice.</t>
  </si>
  <si>
    <t xml:space="preserve">1 Secure the content</t>
  </si>
  <si>
    <t xml:space="preserve">Finish learning every topic once; turn all content into flashcards you can recall.</t>
  </si>
  <si>
    <t xml:space="preserve">All due cards daily + new cards topic by topic</t>
  </si>
  <si>
    <t xml:space="preserve">50% / 30% / 10% / 10%</t>
  </si>
  <si>
    <t xml:space="preserve">blurt each topic at 70%+ and answer topic questions without notes.</t>
  </si>
  <si>
    <t xml:space="preserve">2 Mocks: prep and sit them</t>
  </si>
  <si>
    <t xml:space="preserve">Timed papers for every subject, then sit the January mocks (assumed w/c 4 Jan).</t>
  </si>
  <si>
    <t xml:space="preserve">All due cards daily</t>
  </si>
  <si>
    <t xml:space="preserve">30% / 20% / 40% / 10%</t>
  </si>
  <si>
    <t xml:space="preserve">sit every mock paper in time with a plan for each question type.</t>
  </si>
  <si>
    <t xml:space="preserve">3 Exam practice</t>
  </si>
  <si>
    <t xml:space="preserve">Past papers by subject; fix weak topics found in the mocks.</t>
  </si>
  <si>
    <t xml:space="preserve">25% / 25% / 35% / 15%</t>
  </si>
  <si>
    <t xml:space="preserve">score grade 8+ on recent past papers in every subject.</t>
  </si>
  <si>
    <t xml:space="preserve">4 Easter intensive</t>
  </si>
  <si>
    <t xml:space="preserve">Full papers under exam conditions; perfect exam technique.</t>
  </si>
  <si>
    <t xml:space="preserve">15% / 15% / 55% / 15%</t>
  </si>
  <si>
    <t xml:space="preserve">get near-full marks on most papers; know every mark-scheme phrase.</t>
  </si>
  <si>
    <t xml:space="preserve">5 Exam season</t>
  </si>
  <si>
    <t xml:space="preserve">Final papers and light review, paper by paper in exam order.</t>
  </si>
  <si>
    <t xml:space="preserve">Due cards only (keep reviews going)</t>
  </si>
  <si>
    <t xml:space="preserve">25% / 10% / 50% / 15%</t>
  </si>
  <si>
    <t xml:space="preserve">walk into each paper having done its last 2–3 past papers.</t>
  </si>
  <si>
    <t xml:space="preserve">Total weeks to the end of exams</t>
  </si>
  <si>
    <t xml:space="preserve">Note</t>
  </si>
  <si>
    <t xml:space="preserve">Dates are estimates: November tests assumed Mon 2 / Tue 3 Nov, mocks w/c 4 Jan 2027, exams mid-May to mid-June 2027. Replace them with your real dates.</t>
  </si>
  <si>
    <t xml:space="preserve">How to split your time – by subject and type of topic</t>
  </si>
  <si>
    <t xml:space="preserve">Each block should add up to 100% (the Total column turns red if not). Edit the percentages to suit you.</t>
  </si>
  <si>
    <t xml:space="preserve">NOW → MOCKS (Phases 1–2)</t>
  </si>
  <si>
    <t xml:space="preserve">AFTER MOCKS → EXAMS (Phases 3–5)</t>
  </si>
  <si>
    <t xml:space="preserve">Subject</t>
  </si>
  <si>
    <t xml:space="preserve">Type of topic</t>
  </si>
  <si>
    <t xml:space="preserve">Examples</t>
  </si>
  <si>
    <t xml:space="preserve">Learn (notes / video)</t>
  </si>
  <si>
    <t xml:space="preserve">App flashcards</t>
  </si>
  <si>
    <t xml:space="preserve">Blurting</t>
  </si>
  <si>
    <t xml:space="preserve">Topic questions (SME / PMT)</t>
  </si>
  <si>
    <t xml:space="preserve">Past papers / essays</t>
  </si>
  <si>
    <t xml:space="preserve">Total now → mocks</t>
  </si>
  <si>
    <t xml:space="preserve">Mistake review</t>
  </si>
  <si>
    <t xml:space="preserve">Total mocks → exams</t>
  </si>
  <si>
    <t xml:space="preserve">Best resources for this</t>
  </si>
  <si>
    <t xml:space="preserve">How to hit full marks</t>
  </si>
  <si>
    <t xml:space="preserve">Recall-heavy content</t>
  </si>
  <si>
    <t xml:space="preserve">Cells, transport, coordination, reproduction, ecology</t>
  </si>
  <si>
    <t xml:space="preserve">App flashcards; Save My Exams (SME) Edexcel IGCSE revision notes + topic questions; PMT Edexcel IGCSE Biology topic questions</t>
  </si>
  <si>
    <t xml:space="preserve">Learn mark-scheme keywords exactly (e.g. "active site", "denatured"). Blurt each topic, then do its SME/PMT questions.</t>
  </si>
  <si>
    <t xml:space="preserve">Required practicals &amp; data</t>
  </si>
  <si>
    <t xml:space="preserve">Practicals, graphs, magnification, % change</t>
  </si>
  <si>
    <t xml:space="preserve">App practical cards; PMT practical questions; past papers</t>
  </si>
  <si>
    <t xml:space="preserve">Every practical: method, variables, control, results, safety. Practise "describe a method" 6-markers.</t>
  </si>
  <si>
    <t xml:space="preserve">Extended answers</t>
  </si>
  <si>
    <t xml:space="preserve">Explain/evaluate 4–6 mark questions</t>
  </si>
  <si>
    <t xml:space="preserve">Past papers + mark schemes; app "Mark my answer"</t>
  </si>
  <si>
    <t xml:space="preserve">Write a point per mark; use examiner phrasing; check against mark scheme.</t>
  </si>
  <si>
    <t xml:space="preserve">Chemistry</t>
  </si>
  <si>
    <t xml:space="preserve">Bonding, periodic table, tests, organic</t>
  </si>
  <si>
    <t xml:space="preserve">App flashcards; SME Edexcel IGCSE Chemistry notes + topic questions; PMT topic questions</t>
  </si>
  <si>
    <t xml:space="preserve">Know every test (ion/gas) word-perfect including the result colour.</t>
  </si>
  <si>
    <t xml:space="preserve">Calculations</t>
  </si>
  <si>
    <t xml:space="preserve">Moles, concentration, yield, energetics</t>
  </si>
  <si>
    <t xml:space="preserve">PMT and SME calculation question sets; past papers</t>
  </si>
  <si>
    <t xml:space="preserve">Do 10+ questions per calculation type until automatic; always show units and working.</t>
  </si>
  <si>
    <t xml:space="preserve">Practicals &amp; extended answers</t>
  </si>
  <si>
    <t xml:space="preserve">Salt preparation, rates, electrolysis explanations</t>
  </si>
  <si>
    <t xml:space="preserve">Past papers; app practical cards</t>
  </si>
  <si>
    <t xml:space="preserve">Learn full methods step by step; explain using particles/collisions with key terms.</t>
  </si>
  <si>
    <t xml:space="preserve">Physics</t>
  </si>
  <si>
    <t xml:space="preserve">Concepts &amp; recall</t>
  </si>
  <si>
    <t xml:space="preserve">Forces, waves, electricity, radioactivity, astrophysics</t>
  </si>
  <si>
    <t xml:space="preserve">App flashcards; SME Edexcel IGCSE Physics; PMT topic questions</t>
  </si>
  <si>
    <t xml:space="preserve">Know definitions precisely (e.g. "the rate of change of velocity").</t>
  </si>
  <si>
    <t xml:space="preserve">Equations &amp; calculations</t>
  </si>
  <si>
    <t xml:space="preserve">All recall equations, unit conversions, graphs</t>
  </si>
  <si>
    <t xml:space="preserve">App equation cards; PMT/SME calculation questions; past papers</t>
  </si>
  <si>
    <t xml:space="preserve">Recall every equation instantly (flashcards); show substitution → answer → unit.</t>
  </si>
  <si>
    <t xml:space="preserve">Practicals &amp; explain questions</t>
  </si>
  <si>
    <t xml:space="preserve">Required practicals, EM induction, 6-markers</t>
  </si>
  <si>
    <t xml:space="preserve">Past papers; your EM induction revision sheet cards</t>
  </si>
  <si>
    <t xml:space="preserve">Practise 6-mark "describe how" answers with a clear sequence.</t>
  </si>
  <si>
    <t xml:space="preserve">History</t>
  </si>
  <si>
    <t xml:space="preserve">Knowledge (events, dates, people)</t>
  </si>
  <si>
    <t xml:space="preserve">Medicine, Elizabeth, Cold War, Weimar &amp; Nazi Germany</t>
  </si>
  <si>
    <t xml:space="preserve">App flashcards; blurting per key topic; SME/Seneca notes; textbook</t>
  </si>
  <si>
    <t xml:space="preserve">Blurt timelines; learn 2–3 specific examples per key topic to use as evidence.</t>
  </si>
  <si>
    <t xml:space="preserve">Exam question types</t>
  </si>
  <si>
    <t xml:space="preserve">Describe, explain, how far, sources, interpretations</t>
  </si>
  <si>
    <t xml:space="preserve">Past papers + mark schemes; app "Mark my answer"; exam technique cards</t>
  </si>
  <si>
    <t xml:space="preserve">Practise each question type with the mark-scheme structure; for 16-markers judge, don't just describe.</t>
  </si>
  <si>
    <t xml:space="preserve">English Literature</t>
  </si>
  <si>
    <t xml:space="preserve">Quotes &amp; context</t>
  </si>
  <si>
    <t xml:space="preserve">Macbeth, An Inspector Calls, Of Mice and Men</t>
  </si>
  <si>
    <t xml:space="preserve">App Quote learner + point → quote cards; Mr Bruff / Mr Salles videos for analysis ideas</t>
  </si>
  <si>
    <t xml:space="preserve">Learn ~20 short quotes per text that each fit several themes; know context to link (AO4).</t>
  </si>
  <si>
    <t xml:space="preserve">Poetry (anthology + unseen)</t>
  </si>
  <si>
    <t xml:space="preserve">16 anthology poems, unseen method</t>
  </si>
  <si>
    <t xml:space="preserve">App poem guide + quote cards; past paper poetry questions</t>
  </si>
  <si>
    <t xml:space="preserve">Compare throughout (AO3); for unseen, plan 5 min: meaning → methods → effect.</t>
  </si>
  <si>
    <t xml:space="preserve">Essay writing</t>
  </si>
  <si>
    <t xml:space="preserve">Timed essays for each text</t>
  </si>
  <si>
    <t xml:space="preserve">Past papers; app "Mark my answer" with examiner-marked examples</t>
  </si>
  <si>
    <t xml:space="preserve">Thesis-led paragraphs; analyse single words; integrate context; time strictly.</t>
  </si>
  <si>
    <t xml:space="preserve">Reading questions</t>
  </si>
  <si>
    <t xml:space="preserve">Non-fiction and anthology analysis, comparison</t>
  </si>
  <si>
    <t xml:space="preserve">Past papers (Pearson); app "Mark my answer"; anthology notes</t>
  </si>
  <si>
    <t xml:space="preserve">Use subject terminology and explain effect on the reader; compare both texts throughout.</t>
  </si>
  <si>
    <t xml:space="preserve">Writing (transactional / imaginative)</t>
  </si>
  <si>
    <t xml:space="preserve">Articles, letters, speeches, stories</t>
  </si>
  <si>
    <t xml:space="preserve">Past papers; model answers; app "Mark my answer"</t>
  </si>
  <si>
    <t xml:space="preserve">Plan, vary sentences and vocabulary, check SPaG (AO5) in the last 5 minutes.</t>
  </si>
  <si>
    <t xml:space="preserve">Maths</t>
  </si>
  <si>
    <t xml:space="preserve">Methods &amp; skills</t>
  </si>
  <si>
    <t xml:space="preserve">Algebra, geometry, number, statistics</t>
  </si>
  <si>
    <t xml:space="preserve">Corbettmaths (5-a-day + topic questions); Maths Genie / PMT; past papers</t>
  </si>
  <si>
    <t xml:space="preserve">Do questions daily; redo every wrong question a week later; learn formulae not given.</t>
  </si>
  <si>
    <t xml:space="preserve">German</t>
  </si>
  <si>
    <t xml:space="preserve">Vocabulary</t>
  </si>
  <si>
    <t xml:space="preserve">Theme vocabulary, high-frequency words</t>
  </si>
  <si>
    <t xml:space="preserve">App German deck (both directions); Quizlet-style Quick Learn</t>
  </si>
  <si>
    <t xml:space="preserve">Daily flashcards both ways; learn genders and plurals with each noun.</t>
  </si>
  <si>
    <t xml:space="preserve">Grammar &amp; tenses</t>
  </si>
  <si>
    <t xml:space="preserve">Cases, word order, tenses</t>
  </si>
  <si>
    <t xml:space="preserve">App grammar cards; textbook exercises; past paper translations</t>
  </si>
  <si>
    <t xml:space="preserve">Practise translations into German; check verb position (V2, verb to end).</t>
  </si>
  <si>
    <t xml:space="preserve">Speaking &amp; writing</t>
  </si>
  <si>
    <t xml:space="preserve">Role-play, photo card, writing tasks</t>
  </si>
  <si>
    <t xml:space="preserve">AQA past papers; prepared answers for each theme</t>
  </si>
  <si>
    <t xml:space="preserve">Learn opinion phrases + 3 tenses; prepare and rehearse answers aloud.</t>
  </si>
  <si>
    <t xml:space="preserve">Computer Science</t>
  </si>
  <si>
    <t xml:space="preserve">Theory</t>
  </si>
  <si>
    <t xml:space="preserve">Data, hardware, networks, security, ethics</t>
  </si>
  <si>
    <t xml:space="preserve">App flashcards; SME/PMT Edexcel IGCSE CS questions</t>
  </si>
  <si>
    <t xml:space="preserve">Learn definitions with an example; "explain" = point + reason.</t>
  </si>
  <si>
    <t xml:space="preserve">Calculations &amp; logic</t>
  </si>
  <si>
    <t xml:space="preserve">Binary/hex, file sizes, truth tables</t>
  </si>
  <si>
    <t xml:space="preserve">Topic questions; past papers</t>
  </si>
  <si>
    <t xml:space="preserve">Practise conversions until fast; always show working.</t>
  </si>
  <si>
    <t xml:space="preserve">Programming</t>
  </si>
  <si>
    <t xml:space="preserve">Python, pseudocode, algorithms, trace tables</t>
  </si>
  <si>
    <t xml:space="preserve">Write code daily (Python); past paper 2 tasks; trace tables</t>
  </si>
  <si>
    <t xml:space="preserve">Programming is a skill – write, test and debug real code every week.</t>
  </si>
  <si>
    <t xml:space="preserve">Design &amp; Technology</t>
  </si>
  <si>
    <t xml:space="preserve">Core &amp; material knowledge</t>
  </si>
  <si>
    <t xml:space="preserve">Materials, processes, sustainability, systems</t>
  </si>
  <si>
    <t xml:space="preserve">App flashcards; SME/Seneca OCR D&amp;T notes; textbook</t>
  </si>
  <si>
    <t xml:space="preserve">Name specific materials and processes, and justify choices.</t>
  </si>
  <si>
    <t xml:space="preserve">Maths &amp; extended questions</t>
  </si>
  <si>
    <t xml:space="preserve">Calculations, design evaluations</t>
  </si>
  <si>
    <t xml:space="preserve">OCR past papers + mark schemes</t>
  </si>
  <si>
    <t xml:space="preserve">Show working in calculations; evaluate with pros and cons and a conclusion.</t>
  </si>
  <si>
    <t xml:space="preserve">Key</t>
  </si>
  <si>
    <t xml:space="preserve">SME = Save My Exams · PMT = Physics &amp; Maths Tutor (free topic questions and past papers) · "App" = this study app (flashcards, Quick Learn, Blurting, Quote learner, Past papers, Mark my answer).</t>
  </si>
  <si>
    <t xml:space="preserve">Subject plans and weekly hours</t>
  </si>
  <si>
    <t xml:space="preserve">Yellow = edit. Hours split your weekly total by priority weight.</t>
  </si>
  <si>
    <t xml:space="preserve">Weekly study hours</t>
  </si>
  <si>
    <t xml:space="preserve">Daily flashcards (every subject, ~25–40 min/day) are on top of this and not counted here.</t>
  </si>
  <si>
    <t xml:space="preserve">Board / papers</t>
  </si>
  <si>
    <t xml:space="preserve">Priority</t>
  </si>
  <si>
    <t xml:space="preserve">Weight</t>
  </si>
  <si>
    <t xml:space="preserve">Hours / week</t>
  </si>
  <si>
    <t xml:space="preserve">What full marks demands</t>
  </si>
  <si>
    <t xml:space="preserve">Best resources</t>
  </si>
  <si>
    <t xml:space="preserve">Common traps</t>
  </si>
  <si>
    <t xml:space="preserve">Mock target</t>
  </si>
  <si>
    <t xml:space="preserve">Final target</t>
  </si>
  <si>
    <t xml:space="preserve">Edexcel IGCSE 4ET1: Paper 1 poetry &amp; modern prose; Paper 2 modern drama &amp; literary heritage</t>
  </si>
  <si>
    <t xml:space="preserve">High</t>
  </si>
  <si>
    <t xml:space="preserve">Precise short quotes, analysis of methods, integrated context, comparison for poetry, timed essays</t>
  </si>
  <si>
    <t xml:space="preserve">App quotes &amp; poem guide; past papers; Mr Bruff / Mr Salles; "Mark my answer"</t>
  </si>
  <si>
    <t xml:space="preserve">Retelling the plot; bolted-on context; long quotes; running out of time</t>
  </si>
  <si>
    <t xml:space="preserve">7</t>
  </si>
  <si>
    <t xml:space="preserve">9</t>
  </si>
  <si>
    <t xml:space="preserve">Edexcel IGCSE 4BI1: Paper 1 + Paper 2 (separate science)</t>
  </si>
  <si>
    <t xml:space="preserve">Exact keyword definitions, all practicals, data and calculation questions</t>
  </si>
  <si>
    <t xml:space="preserve">App flashcards; SME notes + topic questions; PMT; past papers</t>
  </si>
  <si>
    <t xml:space="preserve">Vague wording ("it gets bigger"); forgetting units; skipping Paper 2 topics</t>
  </si>
  <si>
    <t xml:space="preserve">8</t>
  </si>
  <si>
    <t xml:space="preserve">Edexcel GCSE 1HI0: Medicine + Western Front; Elizabethan England + Cold War; Weimar &amp; Nazi Germany</t>
  </si>
  <si>
    <t xml:space="preserve">Specific evidence for every point, sustained judgement in 16-markers, source and interpretation skills</t>
  </si>
  <si>
    <t xml:space="preserve">App flashcards + blurting; past papers; textbook; "Mark my answer"</t>
  </si>
  <si>
    <t xml:space="preserve">Describing instead of explaining; no judgement; generic evidence</t>
  </si>
  <si>
    <t xml:space="preserve">Edexcel IGCSE 4PH1: Paper 1 + Paper 2</t>
  </si>
  <si>
    <t xml:space="preserve">Medium</t>
  </si>
  <si>
    <t xml:space="preserve">Every equation and unit, practicals, clear multi-step explanations</t>
  </si>
  <si>
    <t xml:space="preserve">App flashcards; PMT/SME questions; past papers</t>
  </si>
  <si>
    <t xml:space="preserve">Not rearranging equations; missing unit conversions</t>
  </si>
  <si>
    <t xml:space="preserve">Edexcel IGCSE 4CH1: Paper 1 + Paper 2</t>
  </si>
  <si>
    <t xml:space="preserve">Calculations, every test result, practical methods, particle explanations</t>
  </si>
  <si>
    <t xml:space="preserve">Unbalanced equations; wrong state symbols; vague test colours</t>
  </si>
  <si>
    <t xml:space="preserve">AQA GCSE 8662: listening, speaking, reading, writing</t>
  </si>
  <si>
    <t xml:space="preserve">Wide vocabulary, accurate grammar and word order, three tenses, confident speaking</t>
  </si>
  <si>
    <t xml:space="preserve">App German deck; AQA past papers; speaking practice aloud</t>
  </si>
  <si>
    <t xml:space="preserve">Wrong genders/word order; English word order in translation</t>
  </si>
  <si>
    <t xml:space="preserve">Edexcel IGCSE 4CP0: Paper 1 theory; Paper 2 programming</t>
  </si>
  <si>
    <t xml:space="preserve">Precise theory, fast calculations, confident Python under time pressure</t>
  </si>
  <si>
    <t xml:space="preserve">App flashcards; SME/PMT questions; coding practice; past papers</t>
  </si>
  <si>
    <t xml:space="preserve">Not practising code; mis-tracing algorithms</t>
  </si>
  <si>
    <t xml:space="preserve">Assumed Edexcel IGCSE English Language A (4EA1)</t>
  </si>
  <si>
    <t xml:space="preserve">Low</t>
  </si>
  <si>
    <t xml:space="preserve">Analysis of language and structure, comparison, controlled accurate writing</t>
  </si>
  <si>
    <t xml:space="preserve">Past papers; model answers; "Mark my answer"</t>
  </si>
  <si>
    <t xml:space="preserve">Feature-spotting without effect; weak SPaG</t>
  </si>
  <si>
    <t xml:space="preserve">8+</t>
  </si>
  <si>
    <t xml:space="preserve">Assumed Edexcel IGCSE Maths A (4MA1, Higher)</t>
  </si>
  <si>
    <t xml:space="preserve">Accuracy across every topic, full working, fluency on harder questions</t>
  </si>
  <si>
    <t xml:space="preserve">Corbettmaths 5-a-day; Maths Genie; PMT; past papers</t>
  </si>
  <si>
    <t xml:space="preserve">Careless errors; not showing working; rusty topics</t>
  </si>
  <si>
    <t xml:space="preserve">OCR GCSE J310 (exam 50% + NEA 50%)</t>
  </si>
  <si>
    <t xml:space="preserve">Specific materials and processes, maths questions, evaluative answers; strong NEA</t>
  </si>
  <si>
    <t xml:space="preserve">App flashcards; OCR past papers; NEA guidance</t>
  </si>
  <si>
    <t xml:space="preserve">Generic answers ("it is strong"); leaving NEA late</t>
  </si>
  <si>
    <t xml:space="preserve">Weights: High 3, Medium 2, Low 1.5 (from your timetable emphasis). Change a weight to rebalance the hours.</t>
  </si>
  <si>
    <t xml:space="preserve">Week-by-week plan</t>
  </si>
  <si>
    <t xml:space="preserve">Phase and dates update from the Phases sheet. Tick "Done" (Yes/No) each Sunday and note what to fix.</t>
  </si>
  <si>
    <t xml:space="preserve">Week</t>
  </si>
  <si>
    <t xml:space="preserve">Week starting</t>
  </si>
  <si>
    <t xml:space="preserve">Focus this week</t>
  </si>
  <si>
    <t xml:space="preserve">Daily flashcards</t>
  </si>
  <si>
    <t xml:space="preserve">Blurts</t>
  </si>
  <si>
    <t xml:space="preserve">Topic question sets</t>
  </si>
  <si>
    <t xml:space="preserve">Timed past papers / essays</t>
  </si>
  <si>
    <t xml:space="preserve">Notes / what to fix next week</t>
  </si>
  <si>
    <t xml:space="preserve">November tests: Biology (tested Year 9–10 topics, weakest first) + English Language practice – see the November tests sheet; other subjects: due flashcards only</t>
  </si>
  <si>
    <t xml:space="preserve">All due</t>
  </si>
  <si>
    <t xml:space="preserve">Finish learning 1–2 topics per subject; make/learn their cards; blurt each topic; topic questions</t>
  </si>
  <si>
    <t xml:space="preserve">Mocks: timed paper per subject before Christmas, light flashcards on Christmas Day, sit the mocks w/c 4 Jan, log every lost mark</t>
  </si>
  <si>
    <t xml:space="preserve">Past papers by subject (oldest first); fix weak topics from mocks; essays for English/History</t>
  </si>
  <si>
    <t xml:space="preserve">Easter: full papers in exam conditions daily; mark strictly; mistakes → flashcards</t>
  </si>
  <si>
    <t xml:space="preserve">Exam season: last 2–3 papers for each upcoming exam; light flashcards; sleep well</t>
  </si>
  <si>
    <t xml:space="preserve">Due only</t>
  </si>
  <si>
    <t xml:space="preserve">Weeks done</t>
  </si>
  <si>
    <t xml:space="preserve">Totals planned</t>
  </si>
  <si>
    <t xml:space="preserve">What to do in a 40-minute session</t>
  </si>
  <si>
    <t xml:space="preserve">Pick the session type that matches the timetable goal. Start every day with your due flashcards.</t>
  </si>
  <si>
    <t xml:space="preserve">Session type</t>
  </si>
  <si>
    <t xml:space="preserve">Minutes 0–5</t>
  </si>
  <si>
    <t xml:space="preserve">Minutes 5–30</t>
  </si>
  <si>
    <t xml:space="preserve">Minutes 30–40</t>
  </si>
  <si>
    <t xml:space="preserve">Use when</t>
  </si>
  <si>
    <t xml:space="preserve">Learn a new topic</t>
  </si>
  <si>
    <t xml:space="preserve">Due flashcards for this subject</t>
  </si>
  <si>
    <t xml:space="preserve">Read SME notes / watch one video, then close it and blurt; check and fill gaps; add or unsuspend the topic's cards</t>
  </si>
  <si>
    <t xml:space="preserve">Do 3–5 short topic questions without notes</t>
  </si>
  <si>
    <t xml:space="preserve">Phase 1, first time through a topic</t>
  </si>
  <si>
    <t xml:space="preserve">Recall &amp; strengthen</t>
  </si>
  <si>
    <t xml:space="preserve">Blurt the topic from memory (timer)</t>
  </si>
  <si>
    <t xml:space="preserve">App Blurting check → learn the gaps (Quick Learn set it makes); topic questions</t>
  </si>
  <si>
    <t xml:space="preserve">Mark, log mistakes, turn them into cards</t>
  </si>
  <si>
    <t xml:space="preserve">Topics rated 1–3 on Strengths &amp; weaknesses</t>
  </si>
  <si>
    <t xml:space="preserve">Question practice</t>
  </si>
  <si>
    <t xml:space="preserve">Skim the mark scheme style for this topic</t>
  </si>
  <si>
    <t xml:space="preserve">One SME/PMT topic question set, timed (about 1 mark per minute)</t>
  </si>
  <si>
    <t xml:space="preserve">Mark strictly; every lost mark → mistakes log → flashcard</t>
  </si>
  <si>
    <t xml:space="preserve">All phases; calculations and practicals</t>
  </si>
  <si>
    <t xml:space="preserve">Timed paper / essay</t>
  </si>
  <si>
    <t xml:space="preserve">—</t>
  </si>
  <si>
    <t xml:space="preserve">Full paper or one essay in exam time (over two sessions if needed)</t>
  </si>
  <si>
    <t xml:space="preserve">Mark with the official mark scheme (or "Mark my answer" for essays); log mistakes</t>
  </si>
  <si>
    <t xml:space="preserve">Phases 2–5</t>
  </si>
  <si>
    <t xml:space="preserve">Quotes &amp; English</t>
  </si>
  <si>
    <t xml:space="preserve">Quote learner – 10 quotes</t>
  </si>
  <si>
    <t xml:space="preserve">Plan 2 essays in 10 min each, or write one timed section</t>
  </si>
  <si>
    <t xml:space="preserve">Compare your plan with the point → quote cards; mark with "Mark my answer"</t>
  </si>
  <si>
    <t xml:space="preserve">English Literature (and Language writing)</t>
  </si>
  <si>
    <t xml:space="preserve">Languages</t>
  </si>
  <si>
    <t xml:space="preserve">German flashcards (both ways)</t>
  </si>
  <si>
    <t xml:space="preserve">Translation into German or a reading/listening paper section</t>
  </si>
  <si>
    <t xml:space="preserve">Speak 3 prepared answers aloud for the photo card / conversation</t>
  </si>
  <si>
    <t xml:space="preserve">German, every week</t>
  </si>
  <si>
    <t xml:space="preserve">Daily routine</t>
  </si>
  <si>
    <t xml:space="preserve">•</t>
  </si>
  <si>
    <t xml:space="preserve">Every day (including Fri and holidays): app flashcards – clear all due cards (25–40 min). Little and often keeps retention near 90%.</t>
  </si>
  <si>
    <t xml:space="preserve">Each timetable session: follow the type above and the goals set on the session in the app's Timetable.</t>
  </si>
  <si>
    <t xml:space="preserve">Every Sunday: check Strengths &amp; weaknesses, pick next week's weakest topics, tick the Weekly plan, reschedule missed sessions in the app.</t>
  </si>
  <si>
    <t xml:space="preserve">Every fortnight: one full past paper per subject (from Phase 2), logged in Past papers to track your predicted grade.</t>
  </si>
</sst>
</file>

<file path=xl/styles.xml><?xml version="1.0" encoding="utf-8"?>
<styleSheet xmlns="http://schemas.openxmlformats.org/spreadsheetml/2006/main">
  <numFmts count="7">
    <numFmt numFmtId="164" formatCode="General"/>
    <numFmt numFmtId="165" formatCode="ddd\ d\ mmm\ yyyy"/>
    <numFmt numFmtId="166" formatCode="General"/>
    <numFmt numFmtId="167" formatCode="0%"/>
    <numFmt numFmtId="168" formatCode="ddd\ d\ mmm"/>
    <numFmt numFmtId="169" formatCode="d\ mmm\ yyyy"/>
    <numFmt numFmtId="170" formatCode="0.0"/>
  </numFmts>
  <fonts count="16">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11"/>
      <color rgb="FF595959"/>
      <name val="Arial"/>
      <family val="0"/>
      <charset val="1"/>
    </font>
    <font>
      <b val="true"/>
      <sz val="12"/>
      <color rgb="FF1F3A5F"/>
      <name val="Arial"/>
      <family val="0"/>
      <charset val="1"/>
    </font>
    <font>
      <sz val="11"/>
      <name val="Arial"/>
      <family val="0"/>
      <charset val="1"/>
    </font>
    <font>
      <b val="true"/>
      <sz val="10"/>
      <color rgb="FF000000"/>
      <name val="Arial"/>
      <family val="0"/>
      <charset val="1"/>
    </font>
    <font>
      <b val="true"/>
      <sz val="11"/>
      <name val="Arial"/>
      <family val="0"/>
      <charset val="1"/>
    </font>
    <font>
      <sz val="11"/>
      <color rgb="FF0000FF"/>
      <name val="Arial"/>
      <family val="0"/>
      <charset val="1"/>
    </font>
    <font>
      <i val="true"/>
      <sz val="11"/>
      <name val="Arial"/>
      <family val="0"/>
      <charset val="1"/>
    </font>
    <font>
      <b val="true"/>
      <sz val="11"/>
      <color rgb="FF1F3A5F"/>
      <name val="Arial"/>
      <family val="0"/>
      <charset val="1"/>
    </font>
    <font>
      <sz val="11"/>
      <color theme="1"/>
      <name val="Arial"/>
      <family val="0"/>
      <charset val="1"/>
    </font>
    <font>
      <b val="true"/>
      <sz val="11"/>
      <color rgb="FFFFFFFF"/>
      <name val="Arial"/>
      <family val="0"/>
      <charset val="1"/>
    </font>
    <font>
      <sz val="10"/>
      <name val="Arial"/>
      <family val="2"/>
    </font>
  </fonts>
  <fills count="4">
    <fill>
      <patternFill patternType="none"/>
    </fill>
    <fill>
      <patternFill patternType="gray125"/>
    </fill>
    <fill>
      <patternFill patternType="solid">
        <fgColor rgb="FFFFF2CC"/>
        <bgColor rgb="FFFCE5CD"/>
      </patternFill>
    </fill>
    <fill>
      <patternFill patternType="solid">
        <fgColor rgb="FF1F3A5F"/>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center" vertical="top" textRotation="0" wrapText="fals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9" fontId="10" fillId="2"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7" fontId="10" fillId="2" borderId="1" xfId="0" applyFont="true" applyBorder="true" applyAlignment="true" applyProtection="false">
      <alignment horizontal="center" vertical="top" textRotation="0" wrapText="false" indent="0" shrinkToFit="false"/>
      <protection locked="true" hidden="false"/>
    </xf>
    <xf numFmtId="167" fontId="9" fillId="0" borderId="1" xfId="0" applyFont="true" applyBorder="true" applyAlignment="true" applyProtection="false">
      <alignment horizontal="center" vertical="top"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CE5CD"/>
        </patternFill>
      </fill>
    </dxf>
    <dxf>
      <fill>
        <patternFill>
          <bgColor rgb="FFD9EAD3"/>
        </patternFill>
      </fill>
    </dxf>
    <dxf>
      <fill>
        <patternFill>
          <bgColor rgb="FFCFE2F3"/>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39.55" hidden="false" customHeight="false" outlineLevel="0" collapsed="false">
      <c r="A5" s="5" t="s">
        <v>3</v>
      </c>
      <c r="B5" s="4" t="s">
        <v>4</v>
      </c>
    </row>
    <row r="6" customFormat="false" ht="26.85" hidden="false" customHeight="false" outlineLevel="0" collapsed="false">
      <c r="A6" s="5" t="s">
        <v>5</v>
      </c>
      <c r="B6" s="4" t="s">
        <v>6</v>
      </c>
    </row>
    <row r="7" customFormat="false" ht="26.85" hidden="false" customHeight="false" outlineLevel="0" collapsed="false">
      <c r="A7" s="5" t="s">
        <v>7</v>
      </c>
      <c r="B7" s="4" t="s">
        <v>8</v>
      </c>
    </row>
    <row r="8" customFormat="false" ht="26.85" hidden="false" customHeight="false" outlineLevel="0" collapsed="false">
      <c r="A8" s="5" t="s">
        <v>9</v>
      </c>
      <c r="B8" s="4" t="s">
        <v>10</v>
      </c>
    </row>
    <row r="9" customFormat="false" ht="26.85" hidden="false" customHeight="false" outlineLevel="0" collapsed="false">
      <c r="A9" s="5" t="s">
        <v>11</v>
      </c>
      <c r="B9" s="4" t="s">
        <v>12</v>
      </c>
    </row>
    <row r="10" customFormat="false" ht="26.85" hidden="false" customHeight="false" outlineLevel="0" collapsed="false">
      <c r="A10" s="5" t="s">
        <v>13</v>
      </c>
      <c r="B10" s="4" t="s">
        <v>14</v>
      </c>
    </row>
    <row r="11" customFormat="false" ht="15" hidden="false" customHeight="false" outlineLevel="0" collapsed="false">
      <c r="A11" s="3"/>
      <c r="B11" s="4"/>
    </row>
    <row r="12" customFormat="false" ht="15" hidden="false" customHeight="false" outlineLevel="0" collapsed="false">
      <c r="A12" s="3" t="s">
        <v>15</v>
      </c>
      <c r="B12" s="4"/>
    </row>
    <row r="13" customFormat="false" ht="26.85" hidden="false" customHeight="false" outlineLevel="0" collapsed="false">
      <c r="A13" s="5" t="s">
        <v>16</v>
      </c>
      <c r="B13" s="4" t="s">
        <v>17</v>
      </c>
    </row>
    <row r="14" customFormat="false" ht="26.85" hidden="false" customHeight="false" outlineLevel="0" collapsed="false">
      <c r="A14" s="5" t="s">
        <v>18</v>
      </c>
      <c r="B14" s="4" t="s">
        <v>19</v>
      </c>
    </row>
    <row r="15" customFormat="false" ht="15" hidden="false" customHeight="false" outlineLevel="0" collapsed="false">
      <c r="A15" s="5" t="s">
        <v>20</v>
      </c>
      <c r="B15" s="4" t="s">
        <v>21</v>
      </c>
    </row>
    <row r="16" customFormat="false" ht="15" hidden="false" customHeight="false" outlineLevel="0" collapsed="false">
      <c r="A16" s="5" t="s">
        <v>22</v>
      </c>
      <c r="B16" s="4" t="s">
        <v>23</v>
      </c>
    </row>
    <row r="17" customFormat="false" ht="26.85" hidden="false" customHeight="false" outlineLevel="0" collapsed="false">
      <c r="A17" s="5" t="s">
        <v>24</v>
      </c>
      <c r="B17" s="4" t="s">
        <v>25</v>
      </c>
    </row>
    <row r="18" customFormat="false" ht="15" hidden="false" customHeight="false" outlineLevel="0" collapsed="false">
      <c r="A18" s="5" t="s">
        <v>26</v>
      </c>
      <c r="B18" s="4" t="s">
        <v>27</v>
      </c>
    </row>
    <row r="19" customFormat="false" ht="15" hidden="false" customHeight="false" outlineLevel="0" collapsed="false">
      <c r="A19" s="3"/>
      <c r="B19" s="4"/>
    </row>
    <row r="20" customFormat="false" ht="64.9" hidden="false" customHeight="false" outlineLevel="0" collapsed="false">
      <c r="A20" s="5" t="s">
        <v>28</v>
      </c>
      <c r="B20" s="4"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4"/>
    <col collapsed="false" customWidth="true" hidden="false" outlineLevel="0" max="4" min="3" style="0" width="46"/>
    <col collapsed="false" customWidth="true" hidden="false" outlineLevel="0" max="5" min="5" style="0" width="40"/>
    <col collapsed="false" customWidth="true" hidden="false" outlineLevel="0" max="6" min="6" style="0" width="52"/>
    <col collapsed="false" customWidth="true" hidden="false" outlineLevel="0" max="7" min="7" style="0" width="9"/>
  </cols>
  <sheetData>
    <row r="1" customFormat="false" ht="19.7" hidden="false" customHeight="false" outlineLevel="0" collapsed="false">
      <c r="A1" s="1" t="s">
        <v>30</v>
      </c>
    </row>
    <row r="2" customFormat="false" ht="15" hidden="false" customHeight="false" outlineLevel="0" collapsed="false">
      <c r="A2" s="2" t="s">
        <v>31</v>
      </c>
    </row>
    <row r="3" customFormat="false" ht="15" hidden="false" customHeight="false" outlineLevel="0" collapsed="false">
      <c r="A3" s="6" t="s">
        <v>32</v>
      </c>
      <c r="B3" s="7" t="n">
        <v>46328</v>
      </c>
      <c r="C3" s="8" t="s">
        <v>33</v>
      </c>
      <c r="E3" s="9" t="s">
        <v>34</v>
      </c>
    </row>
    <row r="4" customFormat="false" ht="15" hidden="false" customHeight="false" outlineLevel="0" collapsed="false">
      <c r="A4" s="6" t="s">
        <v>35</v>
      </c>
      <c r="B4" s="7" t="n">
        <v>46329</v>
      </c>
      <c r="E4" s="10" t="s">
        <v>36</v>
      </c>
      <c r="F4" s="11" t="n">
        <v>8</v>
      </c>
      <c r="G4" s="8" t="s">
        <v>37</v>
      </c>
    </row>
    <row r="5" customFormat="false" ht="15" hidden="false" customHeight="false" outlineLevel="0" collapsed="false">
      <c r="A5" s="6" t="s">
        <v>38</v>
      </c>
      <c r="B5" s="10" t="n">
        <f aca="true">B3-TODAY()</f>
        <v>19</v>
      </c>
      <c r="E5" s="10" t="s">
        <v>39</v>
      </c>
      <c r="F5" s="11" t="n">
        <v>5</v>
      </c>
    </row>
    <row r="6" customFormat="false" ht="15" hidden="false" customHeight="false" outlineLevel="0" collapsed="false">
      <c r="E6" s="10" t="s">
        <v>40</v>
      </c>
      <c r="F6" s="11" t="n">
        <v>3</v>
      </c>
    </row>
    <row r="7" customFormat="false" ht="15" hidden="false" customHeight="false" outlineLevel="0" collapsed="false">
      <c r="E7" s="6" t="s">
        <v>41</v>
      </c>
      <c r="F7" s="6" t="n">
        <f aca="false">SUM(F4:F6)</f>
        <v>16</v>
      </c>
    </row>
    <row r="9" customFormat="false" ht="15" hidden="false" customHeight="false" outlineLevel="0" collapsed="false">
      <c r="A9" s="3" t="s">
        <v>42</v>
      </c>
    </row>
    <row r="10" customFormat="false" ht="15" hidden="false" customHeight="false" outlineLevel="0" collapsed="false">
      <c r="A10" s="12" t="s">
        <v>43</v>
      </c>
      <c r="B10" s="12" t="s">
        <v>44</v>
      </c>
      <c r="C10" s="12" t="s">
        <v>45</v>
      </c>
      <c r="D10" s="12" t="s">
        <v>46</v>
      </c>
      <c r="E10" s="12" t="s">
        <v>47</v>
      </c>
      <c r="F10" s="12" t="s">
        <v>48</v>
      </c>
      <c r="G10" s="12" t="s">
        <v>49</v>
      </c>
    </row>
    <row r="11" customFormat="false" ht="15" hidden="false" customHeight="false" outlineLevel="0" collapsed="false">
      <c r="A11" s="13" t="s">
        <v>50</v>
      </c>
      <c r="B11" s="14" t="s">
        <v>51</v>
      </c>
      <c r="C11" s="14" t="n">
        <v>3</v>
      </c>
      <c r="D11" s="15" t="n">
        <f aca="false">IF(B11="Yes",6-C11,0)</f>
        <v>3</v>
      </c>
      <c r="E11" s="16"/>
      <c r="F11" s="16"/>
      <c r="G11" s="16"/>
    </row>
    <row r="12" customFormat="false" ht="15" hidden="false" customHeight="false" outlineLevel="0" collapsed="false">
      <c r="A12" s="13" t="s">
        <v>52</v>
      </c>
      <c r="B12" s="14" t="s">
        <v>51</v>
      </c>
      <c r="C12" s="14" t="n">
        <v>3</v>
      </c>
      <c r="D12" s="15" t="n">
        <f aca="false">IF(B12="Yes",6-C12,0)</f>
        <v>3</v>
      </c>
      <c r="E12" s="16"/>
      <c r="F12" s="16"/>
      <c r="G12" s="16"/>
    </row>
    <row r="13" customFormat="false" ht="26.85" hidden="false" customHeight="false" outlineLevel="0" collapsed="false">
      <c r="A13" s="13" t="s">
        <v>53</v>
      </c>
      <c r="B13" s="14" t="s">
        <v>51</v>
      </c>
      <c r="C13" s="14" t="n">
        <v>3</v>
      </c>
      <c r="D13" s="15" t="n">
        <f aca="false">IF(B13="Yes",6-C13,0)</f>
        <v>3</v>
      </c>
      <c r="E13" s="16"/>
      <c r="F13" s="16"/>
      <c r="G13" s="16"/>
    </row>
    <row r="14" customFormat="false" ht="26.85" hidden="false" customHeight="false" outlineLevel="0" collapsed="false">
      <c r="A14" s="13" t="s">
        <v>54</v>
      </c>
      <c r="B14" s="14" t="s">
        <v>51</v>
      </c>
      <c r="C14" s="14" t="n">
        <v>3</v>
      </c>
      <c r="D14" s="15" t="n">
        <f aca="false">IF(B14="Yes",6-C14,0)</f>
        <v>3</v>
      </c>
      <c r="E14" s="16"/>
      <c r="F14" s="16"/>
      <c r="G14" s="16"/>
    </row>
    <row r="15" customFormat="false" ht="15" hidden="false" customHeight="false" outlineLevel="0" collapsed="false">
      <c r="A15" s="13" t="s">
        <v>55</v>
      </c>
      <c r="B15" s="14" t="s">
        <v>51</v>
      </c>
      <c r="C15" s="14" t="n">
        <v>3</v>
      </c>
      <c r="D15" s="15" t="n">
        <f aca="false">IF(B15="Yes",6-C15,0)</f>
        <v>3</v>
      </c>
      <c r="E15" s="16"/>
      <c r="F15" s="16"/>
      <c r="G15" s="16"/>
    </row>
    <row r="16" customFormat="false" ht="15" hidden="false" customHeight="false" outlineLevel="0" collapsed="false">
      <c r="A16" s="13" t="s">
        <v>56</v>
      </c>
      <c r="B16" s="14" t="s">
        <v>51</v>
      </c>
      <c r="C16" s="14" t="n">
        <v>3</v>
      </c>
      <c r="D16" s="15" t="n">
        <f aca="false">IF(B16="Yes",6-C16,0)</f>
        <v>3</v>
      </c>
      <c r="E16" s="16"/>
      <c r="F16" s="16"/>
      <c r="G16" s="16"/>
    </row>
    <row r="17" customFormat="false" ht="15" hidden="false" customHeight="false" outlineLevel="0" collapsed="false">
      <c r="A17" s="13" t="s">
        <v>57</v>
      </c>
      <c r="B17" s="14" t="s">
        <v>51</v>
      </c>
      <c r="C17" s="14" t="n">
        <v>3</v>
      </c>
      <c r="D17" s="15" t="n">
        <f aca="false">IF(B17="Yes",6-C17,0)</f>
        <v>3</v>
      </c>
      <c r="E17" s="16"/>
      <c r="F17" s="16"/>
      <c r="G17" s="16"/>
    </row>
    <row r="18" customFormat="false" ht="15" hidden="false" customHeight="false" outlineLevel="0" collapsed="false">
      <c r="A18" s="13" t="s">
        <v>58</v>
      </c>
      <c r="B18" s="14" t="s">
        <v>51</v>
      </c>
      <c r="C18" s="14" t="n">
        <v>3</v>
      </c>
      <c r="D18" s="15" t="n">
        <f aca="false">IF(B18="Yes",6-C18,0)</f>
        <v>3</v>
      </c>
      <c r="E18" s="16"/>
      <c r="F18" s="16"/>
      <c r="G18" s="16"/>
    </row>
    <row r="19" customFormat="false" ht="15" hidden="false" customHeight="false" outlineLevel="0" collapsed="false">
      <c r="A19" s="13" t="s">
        <v>59</v>
      </c>
      <c r="B19" s="14" t="s">
        <v>51</v>
      </c>
      <c r="C19" s="14" t="n">
        <v>3</v>
      </c>
      <c r="D19" s="15" t="n">
        <f aca="false">IF(B19="Yes",6-C19,0)</f>
        <v>3</v>
      </c>
      <c r="E19" s="16"/>
      <c r="F19" s="16"/>
      <c r="G19" s="16"/>
    </row>
    <row r="20" customFormat="false" ht="15" hidden="false" customHeight="false" outlineLevel="0" collapsed="false">
      <c r="A20" s="13" t="s">
        <v>60</v>
      </c>
      <c r="B20" s="14" t="s">
        <v>61</v>
      </c>
      <c r="C20" s="14" t="n">
        <v>3</v>
      </c>
      <c r="D20" s="15" t="n">
        <f aca="false">IF(B20="Yes",6-C20,0)</f>
        <v>0</v>
      </c>
      <c r="E20" s="16"/>
      <c r="F20" s="16"/>
      <c r="G20" s="16"/>
    </row>
    <row r="21" customFormat="false" ht="15" hidden="false" customHeight="false" outlineLevel="0" collapsed="false">
      <c r="A21" s="13" t="s">
        <v>62</v>
      </c>
      <c r="B21" s="14" t="s">
        <v>61</v>
      </c>
      <c r="C21" s="14" t="n">
        <v>3</v>
      </c>
      <c r="D21" s="15" t="n">
        <f aca="false">IF(B21="Yes",6-C21,0)</f>
        <v>0</v>
      </c>
      <c r="E21" s="16"/>
      <c r="F21" s="16"/>
      <c r="G21" s="16"/>
    </row>
    <row r="22" customFormat="false" ht="15" hidden="false" customHeight="false" outlineLevel="0" collapsed="false">
      <c r="A22" s="13" t="s">
        <v>63</v>
      </c>
      <c r="B22" s="14" t="s">
        <v>61</v>
      </c>
      <c r="C22" s="14" t="n">
        <v>3</v>
      </c>
      <c r="D22" s="15" t="n">
        <f aca="false">IF(B22="Yes",6-C22,0)</f>
        <v>0</v>
      </c>
      <c r="E22" s="16"/>
      <c r="F22" s="16"/>
      <c r="G22" s="16"/>
    </row>
    <row r="23" customFormat="false" ht="15" hidden="false" customHeight="false" outlineLevel="0" collapsed="false">
      <c r="A23" s="13" t="s">
        <v>64</v>
      </c>
      <c r="B23" s="14" t="s">
        <v>61</v>
      </c>
      <c r="C23" s="14" t="n">
        <v>3</v>
      </c>
      <c r="D23" s="15" t="n">
        <f aca="false">IF(B23="Yes",6-C23,0)</f>
        <v>0</v>
      </c>
      <c r="E23" s="16"/>
      <c r="F23" s="16"/>
      <c r="G23" s="16"/>
    </row>
    <row r="24" customFormat="false" ht="15" hidden="false" customHeight="false" outlineLevel="0" collapsed="false">
      <c r="A24" s="13" t="s">
        <v>65</v>
      </c>
      <c r="B24" s="14" t="s">
        <v>61</v>
      </c>
      <c r="C24" s="14" t="n">
        <v>3</v>
      </c>
      <c r="D24" s="15" t="n">
        <f aca="false">IF(B24="Yes",6-C24,0)</f>
        <v>0</v>
      </c>
      <c r="E24" s="16"/>
      <c r="F24" s="16"/>
      <c r="G24" s="16"/>
    </row>
    <row r="25" customFormat="false" ht="15" hidden="false" customHeight="false" outlineLevel="0" collapsed="false">
      <c r="A25" s="13" t="s">
        <v>66</v>
      </c>
      <c r="B25" s="14" t="s">
        <v>61</v>
      </c>
      <c r="C25" s="14" t="n">
        <v>3</v>
      </c>
      <c r="D25" s="15" t="n">
        <f aca="false">IF(B25="Yes",6-C25,0)</f>
        <v>0</v>
      </c>
      <c r="E25" s="16"/>
      <c r="F25" s="16"/>
      <c r="G25" s="16"/>
    </row>
    <row r="26" customFormat="false" ht="15" hidden="false" customHeight="false" outlineLevel="0" collapsed="false">
      <c r="A26" s="6" t="s">
        <v>67</v>
      </c>
      <c r="B26" s="6" t="n">
        <f aca="false">COUNTIF(B11:B25,"Yes")</f>
        <v>9</v>
      </c>
    </row>
    <row r="27" customFormat="false" ht="42" hidden="false" customHeight="true" outlineLevel="0" collapsed="false">
      <c r="A27" s="17" t="s">
        <v>68</v>
      </c>
      <c r="B27" s="17"/>
      <c r="C27" s="17"/>
      <c r="D27" s="17"/>
      <c r="E27" s="17"/>
      <c r="F27" s="17"/>
      <c r="G27" s="17"/>
    </row>
    <row r="29" customFormat="false" ht="15" hidden="false" customHeight="false" outlineLevel="0" collapsed="false">
      <c r="A29" s="3" t="s">
        <v>69</v>
      </c>
    </row>
    <row r="30" customFormat="false" ht="26.85" hidden="false" customHeight="false" outlineLevel="0" collapsed="false">
      <c r="A30" s="12" t="s">
        <v>70</v>
      </c>
      <c r="B30" s="12" t="s">
        <v>71</v>
      </c>
      <c r="C30" s="12" t="s">
        <v>72</v>
      </c>
      <c r="D30" s="12" t="s">
        <v>73</v>
      </c>
      <c r="E30" s="12" t="s">
        <v>74</v>
      </c>
      <c r="F30" s="12" t="s">
        <v>75</v>
      </c>
      <c r="G30" s="12" t="s">
        <v>76</v>
      </c>
    </row>
    <row r="31" customFormat="false" ht="39.55" hidden="false" customHeight="false" outlineLevel="0" collapsed="false">
      <c r="A31" s="13" t="s">
        <v>77</v>
      </c>
      <c r="B31" s="13" t="s">
        <v>78</v>
      </c>
      <c r="C31" s="16"/>
      <c r="D31" s="16"/>
      <c r="E31" s="18" t="n">
        <v>12</v>
      </c>
      <c r="F31" s="19" t="str">
        <f aca="false">IF(OR(D31="",E31=""),"",D31/E31)</f>
        <v/>
      </c>
      <c r="G31" s="16"/>
    </row>
    <row r="32" customFormat="false" ht="39.55" hidden="false" customHeight="false" outlineLevel="0" collapsed="false">
      <c r="A32" s="13" t="s">
        <v>79</v>
      </c>
      <c r="B32" s="13" t="s">
        <v>80</v>
      </c>
      <c r="C32" s="16"/>
      <c r="D32" s="16"/>
      <c r="E32" s="18" t="n">
        <v>12</v>
      </c>
      <c r="F32" s="19" t="str">
        <f aca="false">IF(OR(D32="",E32=""),"",D32/E32)</f>
        <v/>
      </c>
      <c r="G32" s="16"/>
    </row>
    <row r="33" customFormat="false" ht="39.55" hidden="false" customHeight="false" outlineLevel="0" collapsed="false">
      <c r="A33" s="13" t="s">
        <v>81</v>
      </c>
      <c r="B33" s="13" t="s">
        <v>82</v>
      </c>
      <c r="C33" s="16"/>
      <c r="D33" s="16"/>
      <c r="E33" s="18" t="n">
        <v>12</v>
      </c>
      <c r="F33" s="19" t="str">
        <f aca="false">IF(OR(D33="",E33=""),"",D33/E33)</f>
        <v/>
      </c>
      <c r="G33" s="16"/>
    </row>
    <row r="34" customFormat="false" ht="39.55" hidden="false" customHeight="false" outlineLevel="0" collapsed="false">
      <c r="A34" s="13" t="s">
        <v>83</v>
      </c>
      <c r="B34" s="13" t="s">
        <v>84</v>
      </c>
      <c r="C34" s="16"/>
      <c r="D34" s="16"/>
      <c r="E34" s="18" t="n">
        <v>22</v>
      </c>
      <c r="F34" s="19" t="str">
        <f aca="false">IF(OR(D34="",E34=""),"",D34/E34)</f>
        <v/>
      </c>
      <c r="G34" s="16"/>
    </row>
    <row r="35" customFormat="false" ht="39.55" hidden="false" customHeight="false" outlineLevel="0" collapsed="false">
      <c r="A35" s="13" t="s">
        <v>85</v>
      </c>
      <c r="B35" s="13" t="s">
        <v>86</v>
      </c>
      <c r="C35" s="16"/>
      <c r="D35" s="16"/>
      <c r="E35" s="18" t="n">
        <v>45</v>
      </c>
      <c r="F35" s="19" t="str">
        <f aca="false">IF(OR(D35="",E35=""),"",D35/E35)</f>
        <v/>
      </c>
      <c r="G35" s="16"/>
    </row>
    <row r="36" customFormat="false" ht="39.55" hidden="false" customHeight="false" outlineLevel="0" collapsed="false">
      <c r="A36" s="13" t="s">
        <v>87</v>
      </c>
      <c r="B36" s="13" t="s">
        <v>88</v>
      </c>
      <c r="C36" s="16"/>
      <c r="D36" s="16"/>
      <c r="E36" s="18" t="n">
        <v>30</v>
      </c>
      <c r="F36" s="19" t="str">
        <f aca="false">IF(OR(D36="",E36=""),"",D36/E36)</f>
        <v/>
      </c>
      <c r="G36" s="16"/>
    </row>
    <row r="37" customFormat="false" ht="30" hidden="false" customHeight="true" outlineLevel="0" collapsed="false">
      <c r="A37" s="17" t="s">
        <v>89</v>
      </c>
      <c r="B37" s="17"/>
      <c r="C37" s="17"/>
      <c r="D37" s="17"/>
      <c r="E37" s="17"/>
      <c r="F37" s="17"/>
      <c r="G37" s="17"/>
    </row>
    <row r="39" customFormat="false" ht="15" hidden="false" customHeight="false" outlineLevel="0" collapsed="false">
      <c r="A39" s="3" t="s">
        <v>90</v>
      </c>
    </row>
    <row r="40" customFormat="false" ht="15" hidden="false" customHeight="false" outlineLevel="0" collapsed="false">
      <c r="A40" s="12" t="s">
        <v>91</v>
      </c>
      <c r="B40" s="12" t="s">
        <v>38</v>
      </c>
      <c r="C40" s="12" t="s">
        <v>92</v>
      </c>
      <c r="D40" s="12" t="s">
        <v>93</v>
      </c>
      <c r="E40" s="12" t="s">
        <v>94</v>
      </c>
      <c r="F40" s="12" t="s">
        <v>95</v>
      </c>
      <c r="G40" s="12" t="s">
        <v>96</v>
      </c>
    </row>
    <row r="41" customFormat="false" ht="39.55" hidden="false" customHeight="false" outlineLevel="0" collapsed="false">
      <c r="A41" s="20" t="n">
        <v>46309</v>
      </c>
      <c r="B41" s="15" t="n">
        <f aca="false">IF($B$3-A41&lt;0,"",$B$3-A41)</f>
        <v>19</v>
      </c>
      <c r="C41" s="13" t="s">
        <v>97</v>
      </c>
      <c r="D41" s="13" t="s">
        <v>98</v>
      </c>
      <c r="E41" s="13" t="s">
        <v>99</v>
      </c>
      <c r="F41" s="13"/>
      <c r="G41" s="21" t="s">
        <v>61</v>
      </c>
    </row>
    <row r="42" customFormat="false" ht="39.55" hidden="false" customHeight="false" outlineLevel="0" collapsed="false">
      <c r="A42" s="20" t="n">
        <v>46310</v>
      </c>
      <c r="B42" s="15" t="n">
        <f aca="false">IF($B$3-A42&lt;0,"",$B$3-A42)</f>
        <v>18</v>
      </c>
      <c r="C42" s="13" t="s">
        <v>97</v>
      </c>
      <c r="D42" s="13" t="s">
        <v>100</v>
      </c>
      <c r="E42" s="13" t="s">
        <v>98</v>
      </c>
      <c r="F42" s="13"/>
      <c r="G42" s="21" t="s">
        <v>61</v>
      </c>
    </row>
    <row r="43" customFormat="false" ht="26.85" hidden="false" customHeight="false" outlineLevel="0" collapsed="false">
      <c r="A43" s="20" t="n">
        <v>46311</v>
      </c>
      <c r="B43" s="15" t="n">
        <f aca="false">IF($B$3-A43&lt;0,"",$B$3-A43)</f>
        <v>17</v>
      </c>
      <c r="C43" s="13" t="s">
        <v>101</v>
      </c>
      <c r="D43" s="13" t="s">
        <v>102</v>
      </c>
      <c r="E43" s="13"/>
      <c r="F43" s="13"/>
      <c r="G43" s="21" t="s">
        <v>61</v>
      </c>
    </row>
    <row r="44" customFormat="false" ht="77.6" hidden="false" customHeight="false" outlineLevel="0" collapsed="false">
      <c r="A44" s="20" t="n">
        <v>46312</v>
      </c>
      <c r="B44" s="15" t="n">
        <f aca="false">IF($B$3-A44&lt;0,"",$B$3-A44)</f>
        <v>16</v>
      </c>
      <c r="C44" s="13" t="s">
        <v>97</v>
      </c>
      <c r="D44" s="13" t="s">
        <v>98</v>
      </c>
      <c r="E44" s="13" t="s">
        <v>103</v>
      </c>
      <c r="F44" s="13" t="s">
        <v>104</v>
      </c>
      <c r="G44" s="21" t="s">
        <v>61</v>
      </c>
    </row>
    <row r="45" customFormat="false" ht="77.6" hidden="false" customHeight="false" outlineLevel="0" collapsed="false">
      <c r="A45" s="20" t="n">
        <v>46313</v>
      </c>
      <c r="B45" s="15" t="n">
        <f aca="false">IF($B$3-A45&lt;0,"",$B$3-A45)</f>
        <v>15</v>
      </c>
      <c r="C45" s="13" t="s">
        <v>105</v>
      </c>
      <c r="D45" s="13" t="s">
        <v>106</v>
      </c>
      <c r="E45" s="13" t="s">
        <v>100</v>
      </c>
      <c r="F45" s="13" t="s">
        <v>107</v>
      </c>
      <c r="G45" s="21" t="s">
        <v>61</v>
      </c>
    </row>
    <row r="46" customFormat="false" ht="39.55" hidden="false" customHeight="false" outlineLevel="0" collapsed="false">
      <c r="A46" s="20" t="n">
        <v>46314</v>
      </c>
      <c r="B46" s="15" t="n">
        <f aca="false">IF($B$3-A46&lt;0,"",$B$3-A46)</f>
        <v>14</v>
      </c>
      <c r="C46" s="13" t="s">
        <v>97</v>
      </c>
      <c r="D46" s="13" t="s">
        <v>98</v>
      </c>
      <c r="E46" s="13" t="s">
        <v>100</v>
      </c>
      <c r="F46" s="13"/>
      <c r="G46" s="21" t="s">
        <v>61</v>
      </c>
    </row>
    <row r="47" customFormat="false" ht="39.55" hidden="false" customHeight="false" outlineLevel="0" collapsed="false">
      <c r="A47" s="20" t="n">
        <v>46315</v>
      </c>
      <c r="B47" s="15" t="n">
        <f aca="false">IF($B$3-A47&lt;0,"",$B$3-A47)</f>
        <v>13</v>
      </c>
      <c r="C47" s="13" t="s">
        <v>97</v>
      </c>
      <c r="D47" s="13" t="s">
        <v>103</v>
      </c>
      <c r="E47" s="13" t="s">
        <v>98</v>
      </c>
      <c r="F47" s="13"/>
      <c r="G47" s="21" t="s">
        <v>61</v>
      </c>
    </row>
    <row r="48" customFormat="false" ht="39.55" hidden="false" customHeight="false" outlineLevel="0" collapsed="false">
      <c r="A48" s="20" t="n">
        <v>46316</v>
      </c>
      <c r="B48" s="15" t="n">
        <f aca="false">IF($B$3-A48&lt;0,"",$B$3-A48)</f>
        <v>12</v>
      </c>
      <c r="C48" s="13" t="s">
        <v>97</v>
      </c>
      <c r="D48" s="13" t="s">
        <v>98</v>
      </c>
      <c r="E48" s="13" t="s">
        <v>99</v>
      </c>
      <c r="F48" s="13"/>
      <c r="G48" s="21" t="s">
        <v>61</v>
      </c>
    </row>
    <row r="49" customFormat="false" ht="39.55" hidden="false" customHeight="false" outlineLevel="0" collapsed="false">
      <c r="A49" s="20" t="n">
        <v>46317</v>
      </c>
      <c r="B49" s="15" t="n">
        <f aca="false">IF($B$3-A49&lt;0,"",$B$3-A49)</f>
        <v>11</v>
      </c>
      <c r="C49" s="13" t="s">
        <v>97</v>
      </c>
      <c r="D49" s="13" t="s">
        <v>100</v>
      </c>
      <c r="E49" s="13" t="s">
        <v>98</v>
      </c>
      <c r="F49" s="13"/>
      <c r="G49" s="21" t="s">
        <v>61</v>
      </c>
    </row>
    <row r="50" customFormat="false" ht="26.85" hidden="false" customHeight="false" outlineLevel="0" collapsed="false">
      <c r="A50" s="20" t="n">
        <v>46318</v>
      </c>
      <c r="B50" s="15" t="n">
        <f aca="false">IF($B$3-A50&lt;0,"",$B$3-A50)</f>
        <v>10</v>
      </c>
      <c r="C50" s="13" t="s">
        <v>101</v>
      </c>
      <c r="D50" s="13" t="s">
        <v>102</v>
      </c>
      <c r="E50" s="13"/>
      <c r="F50" s="13"/>
      <c r="G50" s="21" t="s">
        <v>61</v>
      </c>
    </row>
    <row r="51" customFormat="false" ht="77.6" hidden="false" customHeight="false" outlineLevel="0" collapsed="false">
      <c r="A51" s="20" t="n">
        <v>46319</v>
      </c>
      <c r="B51" s="15" t="n">
        <f aca="false">IF($B$3-A51&lt;0,"",$B$3-A51)</f>
        <v>9</v>
      </c>
      <c r="C51" s="13" t="s">
        <v>97</v>
      </c>
      <c r="D51" s="13" t="s">
        <v>98</v>
      </c>
      <c r="E51" s="13" t="s">
        <v>103</v>
      </c>
      <c r="F51" s="13" t="s">
        <v>108</v>
      </c>
      <c r="G51" s="21" t="s">
        <v>61</v>
      </c>
    </row>
    <row r="52" customFormat="false" ht="77.6" hidden="false" customHeight="false" outlineLevel="0" collapsed="false">
      <c r="A52" s="20" t="n">
        <v>46320</v>
      </c>
      <c r="B52" s="15" t="n">
        <f aca="false">IF($B$3-A52&lt;0,"",$B$3-A52)</f>
        <v>8</v>
      </c>
      <c r="C52" s="13" t="s">
        <v>105</v>
      </c>
      <c r="D52" s="13" t="s">
        <v>106</v>
      </c>
      <c r="E52" s="13" t="s">
        <v>100</v>
      </c>
      <c r="F52" s="13" t="s">
        <v>109</v>
      </c>
      <c r="G52" s="21" t="s">
        <v>61</v>
      </c>
    </row>
    <row r="53" customFormat="false" ht="39.55" hidden="false" customHeight="false" outlineLevel="0" collapsed="false">
      <c r="A53" s="20" t="n">
        <v>46321</v>
      </c>
      <c r="B53" s="15" t="n">
        <f aca="false">IF($B$3-A53&lt;0,"",$B$3-A53)</f>
        <v>7</v>
      </c>
      <c r="C53" s="13" t="s">
        <v>97</v>
      </c>
      <c r="D53" s="13" t="s">
        <v>98</v>
      </c>
      <c r="E53" s="13" t="s">
        <v>100</v>
      </c>
      <c r="F53" s="13"/>
      <c r="G53" s="21" t="s">
        <v>61</v>
      </c>
    </row>
    <row r="54" customFormat="false" ht="39.55" hidden="false" customHeight="false" outlineLevel="0" collapsed="false">
      <c r="A54" s="20" t="n">
        <v>46322</v>
      </c>
      <c r="B54" s="15" t="n">
        <f aca="false">IF($B$3-A54&lt;0,"",$B$3-A54)</f>
        <v>6</v>
      </c>
      <c r="C54" s="13" t="s">
        <v>110</v>
      </c>
      <c r="D54" s="13" t="s">
        <v>103</v>
      </c>
      <c r="E54" s="13" t="s">
        <v>98</v>
      </c>
      <c r="F54" s="13"/>
      <c r="G54" s="21" t="s">
        <v>61</v>
      </c>
    </row>
    <row r="55" customFormat="false" ht="39.55" hidden="false" customHeight="false" outlineLevel="0" collapsed="false">
      <c r="A55" s="20" t="n">
        <v>46323</v>
      </c>
      <c r="B55" s="15" t="n">
        <f aca="false">IF($B$3-A55&lt;0,"",$B$3-A55)</f>
        <v>5</v>
      </c>
      <c r="C55" s="13" t="s">
        <v>110</v>
      </c>
      <c r="D55" s="13" t="s">
        <v>98</v>
      </c>
      <c r="E55" s="13" t="s">
        <v>99</v>
      </c>
      <c r="F55" s="13"/>
      <c r="G55" s="21" t="s">
        <v>61</v>
      </c>
    </row>
    <row r="56" customFormat="false" ht="39.55" hidden="false" customHeight="false" outlineLevel="0" collapsed="false">
      <c r="A56" s="20" t="n">
        <v>46324</v>
      </c>
      <c r="B56" s="15" t="n">
        <f aca="false">IF($B$3-A56&lt;0,"",$B$3-A56)</f>
        <v>4</v>
      </c>
      <c r="C56" s="13" t="s">
        <v>110</v>
      </c>
      <c r="D56" s="13" t="s">
        <v>100</v>
      </c>
      <c r="E56" s="13" t="s">
        <v>98</v>
      </c>
      <c r="F56" s="13"/>
      <c r="G56" s="21" t="s">
        <v>61</v>
      </c>
    </row>
    <row r="57" customFormat="false" ht="26.85" hidden="false" customHeight="false" outlineLevel="0" collapsed="false">
      <c r="A57" s="20" t="n">
        <v>46325</v>
      </c>
      <c r="B57" s="15" t="n">
        <f aca="false">IF($B$3-A57&lt;0,"",$B$3-A57)</f>
        <v>3</v>
      </c>
      <c r="C57" s="13" t="s">
        <v>101</v>
      </c>
      <c r="D57" s="13" t="s">
        <v>102</v>
      </c>
      <c r="E57" s="13"/>
      <c r="F57" s="13"/>
      <c r="G57" s="21" t="s">
        <v>61</v>
      </c>
    </row>
    <row r="58" customFormat="false" ht="77.6" hidden="false" customHeight="false" outlineLevel="0" collapsed="false">
      <c r="A58" s="20" t="n">
        <v>46326</v>
      </c>
      <c r="B58" s="15" t="n">
        <f aca="false">IF($B$3-A58&lt;0,"",$B$3-A58)</f>
        <v>2</v>
      </c>
      <c r="C58" s="13" t="s">
        <v>97</v>
      </c>
      <c r="D58" s="13" t="s">
        <v>98</v>
      </c>
      <c r="E58" s="13" t="s">
        <v>103</v>
      </c>
      <c r="F58" s="13" t="s">
        <v>108</v>
      </c>
      <c r="G58" s="21" t="s">
        <v>61</v>
      </c>
    </row>
    <row r="59" customFormat="false" ht="26.85" hidden="false" customHeight="false" outlineLevel="0" collapsed="false">
      <c r="A59" s="20" t="n">
        <v>46327</v>
      </c>
      <c r="B59" s="15" t="n">
        <f aca="false">IF($B$3-A59&lt;0,"",$B$3-A59)</f>
        <v>1</v>
      </c>
      <c r="C59" s="13" t="s">
        <v>111</v>
      </c>
      <c r="D59" s="13" t="s">
        <v>112</v>
      </c>
      <c r="E59" s="13" t="s">
        <v>113</v>
      </c>
      <c r="F59" s="13"/>
      <c r="G59" s="21" t="s">
        <v>61</v>
      </c>
    </row>
    <row r="60" customFormat="false" ht="26.85" hidden="false" customHeight="false" outlineLevel="0" collapsed="false">
      <c r="A60" s="20" t="n">
        <v>46328</v>
      </c>
      <c r="B60" s="15" t="n">
        <f aca="false">IF($B$3-A60&lt;0,"",$B$3-A60)</f>
        <v>0</v>
      </c>
      <c r="C60" s="13" t="s">
        <v>114</v>
      </c>
      <c r="D60" s="13" t="s">
        <v>115</v>
      </c>
      <c r="E60" s="13"/>
      <c r="F60" s="13"/>
      <c r="G60" s="21" t="s">
        <v>61</v>
      </c>
    </row>
    <row r="61" customFormat="false" ht="26.85" hidden="false" customHeight="false" outlineLevel="0" collapsed="false">
      <c r="A61" s="20" t="n">
        <v>46329</v>
      </c>
      <c r="B61" s="15" t="str">
        <f aca="false">IF($B$3-A61&lt;0,"",$B$3-A61)</f>
        <v/>
      </c>
      <c r="C61" s="13" t="s">
        <v>116</v>
      </c>
      <c r="D61" s="13" t="s">
        <v>117</v>
      </c>
      <c r="E61" s="13"/>
      <c r="F61" s="13"/>
      <c r="G61" s="21" t="s">
        <v>61</v>
      </c>
    </row>
    <row r="62" customFormat="false" ht="43.5" hidden="false" customHeight="true" outlineLevel="0" collapsed="false">
      <c r="A62" s="17" t="s">
        <v>118</v>
      </c>
      <c r="B62" s="17"/>
      <c r="C62" s="17"/>
      <c r="D62" s="17"/>
      <c r="E62" s="17"/>
      <c r="F62" s="17"/>
      <c r="G62" s="17"/>
    </row>
  </sheetData>
  <mergeCells count="3">
    <mergeCell ref="A27:G27"/>
    <mergeCell ref="A37:G37"/>
    <mergeCell ref="A62:G62"/>
  </mergeCells>
  <conditionalFormatting sqref="A11:G25">
    <cfRule type="expression" priority="2" aboveAverage="0" equalAverage="0" bottom="0" percent="0" rank="0" text="" dxfId="0">
      <formula>$D11&gt;=4</formula>
    </cfRule>
  </conditionalFormatting>
  <conditionalFormatting sqref="A41:G61">
    <cfRule type="expression" priority="3" aboveAverage="0" equalAverage="0" bottom="0" percent="0" rank="0" text="" dxfId="1">
      <formula>$G41="Yes"</formula>
    </cfRule>
    <cfRule type="expression" priority="4" aboveAverage="0" equalAverage="0" bottom="0" percent="0" rank="0" text="" dxfId="2">
      <formula>$A41=TODAY()</formula>
    </cfRule>
  </conditionalFormatting>
  <dataValidations count="3">
    <dataValidation allowBlank="false" errorStyle="stop" operator="between" showDropDown="false" showErrorMessage="false" showInputMessage="false" sqref="B11:B25" type="list">
      <formula1>"Yes,No"</formula1>
      <formula2>0</formula2>
    </dataValidation>
    <dataValidation allowBlank="false" errorStyle="stop" operator="between" showDropDown="false" showErrorMessage="false" showInputMessage="false" sqref="C11:C25" type="whole">
      <formula1>1</formula1>
      <formula2>5</formula2>
    </dataValidation>
    <dataValidation allowBlank="true" errorStyle="stop" operator="between" showDropDown="false" showErrorMessage="false" showInputMessage="false" sqref="G41:G6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3"/>
    <col collapsed="false" customWidth="true" hidden="false" outlineLevel="0" max="4" min="4" style="0" width="8"/>
    <col collapsed="false" customWidth="true" hidden="false" outlineLevel="0" max="5" min="5" style="0" width="42"/>
    <col collapsed="false" customWidth="true" hidden="false" outlineLevel="0" max="6" min="6" style="0" width="30"/>
    <col collapsed="false" customWidth="true" hidden="false" outlineLevel="0" max="7" min="7" style="0" width="34"/>
    <col collapsed="false" customWidth="true" hidden="false" outlineLevel="0" max="8" min="8" style="0" width="44"/>
  </cols>
  <sheetData>
    <row r="1" customFormat="false" ht="19.7" hidden="false" customHeight="false" outlineLevel="0" collapsed="false">
      <c r="A1" s="1" t="s">
        <v>119</v>
      </c>
    </row>
    <row r="2" customFormat="false" ht="15" hidden="false" customHeight="false" outlineLevel="0" collapsed="false">
      <c r="A2" s="2" t="s">
        <v>120</v>
      </c>
    </row>
    <row r="4" customFormat="false" ht="39.55" hidden="false" customHeight="false" outlineLevel="0" collapsed="false">
      <c r="A4" s="12" t="s">
        <v>121</v>
      </c>
      <c r="B4" s="12" t="s">
        <v>122</v>
      </c>
      <c r="C4" s="12" t="s">
        <v>123</v>
      </c>
      <c r="D4" s="12" t="s">
        <v>124</v>
      </c>
      <c r="E4" s="12" t="s">
        <v>125</v>
      </c>
      <c r="F4" s="12" t="s">
        <v>126</v>
      </c>
      <c r="G4" s="12" t="s">
        <v>127</v>
      </c>
      <c r="H4" s="12" t="s">
        <v>128</v>
      </c>
    </row>
    <row r="5" customFormat="false" ht="39.55" hidden="false" customHeight="false" outlineLevel="0" collapsed="false">
      <c r="A5" s="22" t="s">
        <v>129</v>
      </c>
      <c r="B5" s="23" t="n">
        <v>46309</v>
      </c>
      <c r="C5" s="23" t="n">
        <v>46330</v>
      </c>
      <c r="D5" s="13" t="n">
        <f aca="false">ROUNDUP((C5-B5+1)/7,0)</f>
        <v>4</v>
      </c>
      <c r="E5" s="13" t="s">
        <v>130</v>
      </c>
      <c r="F5" s="13" t="s">
        <v>131</v>
      </c>
      <c r="G5" s="13" t="s">
        <v>132</v>
      </c>
      <c r="H5" s="13" t="s">
        <v>133</v>
      </c>
    </row>
    <row r="6" customFormat="false" ht="26.85" hidden="false" customHeight="false" outlineLevel="0" collapsed="false">
      <c r="A6" s="22" t="s">
        <v>134</v>
      </c>
      <c r="B6" s="23" t="n">
        <v>46331</v>
      </c>
      <c r="C6" s="23" t="n">
        <v>46369</v>
      </c>
      <c r="D6" s="13" t="n">
        <f aca="false">ROUNDUP((C6-B6+1)/7,0)</f>
        <v>6</v>
      </c>
      <c r="E6" s="13" t="s">
        <v>135</v>
      </c>
      <c r="F6" s="13" t="s">
        <v>136</v>
      </c>
      <c r="G6" s="13" t="s">
        <v>137</v>
      </c>
      <c r="H6" s="13" t="s">
        <v>138</v>
      </c>
    </row>
    <row r="7" customFormat="false" ht="26.85" hidden="false" customHeight="false" outlineLevel="0" collapsed="false">
      <c r="A7" s="22" t="s">
        <v>139</v>
      </c>
      <c r="B7" s="23" t="n">
        <v>46370</v>
      </c>
      <c r="C7" s="23" t="n">
        <v>46404</v>
      </c>
      <c r="D7" s="13" t="n">
        <f aca="false">ROUNDUP((C7-B7+1)/7,0)</f>
        <v>5</v>
      </c>
      <c r="E7" s="13" t="s">
        <v>140</v>
      </c>
      <c r="F7" s="13" t="s">
        <v>141</v>
      </c>
      <c r="G7" s="13" t="s">
        <v>142</v>
      </c>
      <c r="H7" s="13" t="s">
        <v>143</v>
      </c>
    </row>
    <row r="8" customFormat="false" ht="26.85" hidden="false" customHeight="false" outlineLevel="0" collapsed="false">
      <c r="A8" s="22" t="s">
        <v>144</v>
      </c>
      <c r="B8" s="23" t="n">
        <v>46405</v>
      </c>
      <c r="C8" s="23" t="n">
        <v>46474</v>
      </c>
      <c r="D8" s="13" t="n">
        <f aca="false">ROUNDUP((C8-B8+1)/7,0)</f>
        <v>10</v>
      </c>
      <c r="E8" s="13" t="s">
        <v>145</v>
      </c>
      <c r="F8" s="13" t="s">
        <v>141</v>
      </c>
      <c r="G8" s="13" t="s">
        <v>146</v>
      </c>
      <c r="H8" s="13" t="s">
        <v>147</v>
      </c>
    </row>
    <row r="9" customFormat="false" ht="26.85" hidden="false" customHeight="false" outlineLevel="0" collapsed="false">
      <c r="A9" s="22" t="s">
        <v>148</v>
      </c>
      <c r="B9" s="23" t="n">
        <v>46475</v>
      </c>
      <c r="C9" s="23" t="n">
        <v>46495</v>
      </c>
      <c r="D9" s="13" t="n">
        <f aca="false">ROUNDUP((C9-B9+1)/7,0)</f>
        <v>3</v>
      </c>
      <c r="E9" s="13" t="s">
        <v>149</v>
      </c>
      <c r="F9" s="13" t="s">
        <v>141</v>
      </c>
      <c r="G9" s="13" t="s">
        <v>150</v>
      </c>
      <c r="H9" s="13" t="s">
        <v>151</v>
      </c>
    </row>
    <row r="10" customFormat="false" ht="26.85" hidden="false" customHeight="false" outlineLevel="0" collapsed="false">
      <c r="A10" s="22" t="s">
        <v>152</v>
      </c>
      <c r="B10" s="23" t="n">
        <v>46496</v>
      </c>
      <c r="C10" s="23" t="n">
        <v>46556</v>
      </c>
      <c r="D10" s="13" t="n">
        <f aca="false">ROUNDUP((C10-B10+1)/7,0)</f>
        <v>9</v>
      </c>
      <c r="E10" s="13" t="s">
        <v>153</v>
      </c>
      <c r="F10" s="13" t="s">
        <v>154</v>
      </c>
      <c r="G10" s="13" t="s">
        <v>155</v>
      </c>
      <c r="H10" s="13" t="s">
        <v>156</v>
      </c>
    </row>
    <row r="12" customFormat="false" ht="15" hidden="false" customHeight="false" outlineLevel="0" collapsed="false">
      <c r="A12" s="6" t="s">
        <v>157</v>
      </c>
      <c r="D12" s="6" t="n">
        <f aca="false">SUM(D5:D10)</f>
        <v>37</v>
      </c>
    </row>
    <row r="13" customFormat="false" ht="30" hidden="false" customHeight="true" outlineLevel="0" collapsed="false">
      <c r="A13" s="6" t="s">
        <v>158</v>
      </c>
      <c r="B13" s="17" t="s">
        <v>159</v>
      </c>
      <c r="C13" s="17"/>
      <c r="D13" s="17"/>
      <c r="E13" s="17"/>
      <c r="F13" s="17"/>
      <c r="G13" s="17"/>
      <c r="H13" s="17"/>
    </row>
  </sheetData>
  <mergeCells count="1">
    <mergeCell ref="B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30"/>
    <col collapsed="false" customWidth="true" hidden="false" outlineLevel="0" max="6" min="4" style="0" width="10"/>
    <col collapsed="false" customWidth="true" hidden="false" outlineLevel="0" max="7" min="7" style="0" width="12"/>
    <col collapsed="false" customWidth="true" hidden="false" outlineLevel="0" max="8" min="8" style="0" width="11"/>
    <col collapsed="false" customWidth="true" hidden="false" outlineLevel="0" max="11" min="9" style="0" width="10"/>
    <col collapsed="false" customWidth="true" hidden="false" outlineLevel="0" max="12" min="12" style="0" width="12"/>
    <col collapsed="false" customWidth="true" hidden="false" outlineLevel="0" max="13" min="13" style="0" width="11"/>
    <col collapsed="false" customWidth="true" hidden="false" outlineLevel="0" max="15" min="14" style="0" width="10"/>
    <col collapsed="false" customWidth="true" hidden="false" outlineLevel="0" max="16" min="16" style="0" width="40"/>
    <col collapsed="false" customWidth="true" hidden="false" outlineLevel="0" max="17" min="17" style="0" width="46"/>
  </cols>
  <sheetData>
    <row r="1" customFormat="false" ht="19.7" hidden="false" customHeight="false" outlineLevel="0" collapsed="false">
      <c r="A1" s="1" t="s">
        <v>160</v>
      </c>
    </row>
    <row r="2" customFormat="false" ht="15" hidden="false" customHeight="false" outlineLevel="0" collapsed="false">
      <c r="A2" s="2" t="s">
        <v>161</v>
      </c>
    </row>
    <row r="3" customFormat="false" ht="15" hidden="false" customHeight="false" outlineLevel="0" collapsed="false">
      <c r="D3" s="24" t="s">
        <v>162</v>
      </c>
      <c r="E3" s="24"/>
      <c r="F3" s="24"/>
      <c r="G3" s="24"/>
      <c r="H3" s="24"/>
      <c r="I3" s="24"/>
      <c r="J3" s="24" t="s">
        <v>163</v>
      </c>
      <c r="K3" s="24"/>
      <c r="L3" s="24"/>
      <c r="M3" s="24"/>
      <c r="N3" s="24"/>
      <c r="O3" s="24"/>
    </row>
    <row r="4" customFormat="false" ht="45" hidden="false" customHeight="true" outlineLevel="0" collapsed="false">
      <c r="A4" s="12" t="s">
        <v>164</v>
      </c>
      <c r="B4" s="12" t="s">
        <v>165</v>
      </c>
      <c r="C4" s="12" t="s">
        <v>166</v>
      </c>
      <c r="D4" s="12" t="s">
        <v>167</v>
      </c>
      <c r="E4" s="12" t="s">
        <v>168</v>
      </c>
      <c r="F4" s="12" t="s">
        <v>169</v>
      </c>
      <c r="G4" s="12" t="s">
        <v>170</v>
      </c>
      <c r="H4" s="12" t="s">
        <v>171</v>
      </c>
      <c r="I4" s="12" t="s">
        <v>172</v>
      </c>
      <c r="J4" s="12" t="s">
        <v>168</v>
      </c>
      <c r="K4" s="12" t="s">
        <v>169</v>
      </c>
      <c r="L4" s="12" t="s">
        <v>170</v>
      </c>
      <c r="M4" s="12" t="s">
        <v>171</v>
      </c>
      <c r="N4" s="12" t="s">
        <v>173</v>
      </c>
      <c r="O4" s="12" t="s">
        <v>174</v>
      </c>
      <c r="P4" s="12" t="s">
        <v>175</v>
      </c>
      <c r="Q4" s="12" t="s">
        <v>176</v>
      </c>
    </row>
    <row r="5" customFormat="false" ht="52.2" hidden="false" customHeight="false" outlineLevel="0" collapsed="false">
      <c r="A5" s="22" t="s">
        <v>36</v>
      </c>
      <c r="B5" s="13" t="s">
        <v>177</v>
      </c>
      <c r="C5" s="13" t="s">
        <v>178</v>
      </c>
      <c r="D5" s="25" t="n">
        <v>0.15</v>
      </c>
      <c r="E5" s="25" t="n">
        <v>0.35</v>
      </c>
      <c r="F5" s="25" t="n">
        <v>0.2</v>
      </c>
      <c r="G5" s="25" t="n">
        <v>0.25</v>
      </c>
      <c r="H5" s="25" t="n">
        <v>0.05</v>
      </c>
      <c r="I5" s="26" t="n">
        <f aca="false">SUM(D5:H5)</f>
        <v>1</v>
      </c>
      <c r="J5" s="25" t="n">
        <v>0.25</v>
      </c>
      <c r="K5" s="25" t="n">
        <v>0.15</v>
      </c>
      <c r="L5" s="25" t="n">
        <v>0.25</v>
      </c>
      <c r="M5" s="25" t="n">
        <v>0.25</v>
      </c>
      <c r="N5" s="25" t="n">
        <v>0.1</v>
      </c>
      <c r="O5" s="26" t="n">
        <f aca="false">SUM(J5:N5)</f>
        <v>1</v>
      </c>
      <c r="P5" s="13" t="s">
        <v>179</v>
      </c>
      <c r="Q5" s="13" t="s">
        <v>180</v>
      </c>
    </row>
    <row r="6" customFormat="false" ht="39.55" hidden="false" customHeight="false" outlineLevel="0" collapsed="false">
      <c r="A6" s="22" t="s">
        <v>36</v>
      </c>
      <c r="B6" s="13" t="s">
        <v>181</v>
      </c>
      <c r="C6" s="13" t="s">
        <v>182</v>
      </c>
      <c r="D6" s="25" t="n">
        <v>0.1</v>
      </c>
      <c r="E6" s="25" t="n">
        <v>0.25</v>
      </c>
      <c r="F6" s="25" t="n">
        <v>0.1</v>
      </c>
      <c r="G6" s="25" t="n">
        <v>0.4</v>
      </c>
      <c r="H6" s="25" t="n">
        <v>0.15</v>
      </c>
      <c r="I6" s="26" t="n">
        <f aca="false">SUM(D6:H6)</f>
        <v>1</v>
      </c>
      <c r="J6" s="25" t="n">
        <v>0.15</v>
      </c>
      <c r="K6" s="25" t="n">
        <v>0.05</v>
      </c>
      <c r="L6" s="25" t="n">
        <v>0.3</v>
      </c>
      <c r="M6" s="25" t="n">
        <v>0.4</v>
      </c>
      <c r="N6" s="25" t="n">
        <v>0.1</v>
      </c>
      <c r="O6" s="26" t="n">
        <f aca="false">SUM(J6:N6)</f>
        <v>1</v>
      </c>
      <c r="P6" s="13" t="s">
        <v>183</v>
      </c>
      <c r="Q6" s="13" t="s">
        <v>184</v>
      </c>
    </row>
    <row r="7" customFormat="false" ht="26.85" hidden="false" customHeight="false" outlineLevel="0" collapsed="false">
      <c r="A7" s="22" t="s">
        <v>36</v>
      </c>
      <c r="B7" s="13" t="s">
        <v>185</v>
      </c>
      <c r="C7" s="13" t="s">
        <v>186</v>
      </c>
      <c r="D7" s="25" t="n">
        <v>0.05</v>
      </c>
      <c r="E7" s="25" t="n">
        <v>0.2</v>
      </c>
      <c r="F7" s="25" t="n">
        <v>0.15</v>
      </c>
      <c r="G7" s="25" t="n">
        <v>0.3</v>
      </c>
      <c r="H7" s="25" t="n">
        <v>0.3</v>
      </c>
      <c r="I7" s="26" t="n">
        <f aca="false">SUM(D7:H7)</f>
        <v>1</v>
      </c>
      <c r="J7" s="25" t="n">
        <v>0.1</v>
      </c>
      <c r="K7" s="25" t="n">
        <v>0.1</v>
      </c>
      <c r="L7" s="25" t="n">
        <v>0.2</v>
      </c>
      <c r="M7" s="25" t="n">
        <v>0.45</v>
      </c>
      <c r="N7" s="25" t="n">
        <v>0.15</v>
      </c>
      <c r="O7" s="26" t="n">
        <f aca="false">SUM(J7:N7)</f>
        <v>1</v>
      </c>
      <c r="P7" s="13" t="s">
        <v>187</v>
      </c>
      <c r="Q7" s="13" t="s">
        <v>188</v>
      </c>
    </row>
    <row r="8" customFormat="false" ht="39.55" hidden="false" customHeight="false" outlineLevel="0" collapsed="false">
      <c r="A8" s="22" t="s">
        <v>189</v>
      </c>
      <c r="B8" s="13" t="s">
        <v>177</v>
      </c>
      <c r="C8" s="13" t="s">
        <v>190</v>
      </c>
      <c r="D8" s="25" t="n">
        <v>0.15</v>
      </c>
      <c r="E8" s="25" t="n">
        <v>0.35</v>
      </c>
      <c r="F8" s="25" t="n">
        <v>0.2</v>
      </c>
      <c r="G8" s="25" t="n">
        <v>0.25</v>
      </c>
      <c r="H8" s="25" t="n">
        <v>0.05</v>
      </c>
      <c r="I8" s="26" t="n">
        <f aca="false">SUM(D8:H8)</f>
        <v>1</v>
      </c>
      <c r="J8" s="25" t="n">
        <v>0.25</v>
      </c>
      <c r="K8" s="25" t="n">
        <v>0.15</v>
      </c>
      <c r="L8" s="25" t="n">
        <v>0.25</v>
      </c>
      <c r="M8" s="25" t="n">
        <v>0.25</v>
      </c>
      <c r="N8" s="25" t="n">
        <v>0.1</v>
      </c>
      <c r="O8" s="26" t="n">
        <f aca="false">SUM(J8:N8)</f>
        <v>1</v>
      </c>
      <c r="P8" s="13" t="s">
        <v>191</v>
      </c>
      <c r="Q8" s="13" t="s">
        <v>192</v>
      </c>
    </row>
    <row r="9" customFormat="false" ht="26.85" hidden="false" customHeight="false" outlineLevel="0" collapsed="false">
      <c r="A9" s="22" t="s">
        <v>189</v>
      </c>
      <c r="B9" s="13" t="s">
        <v>193</v>
      </c>
      <c r="C9" s="13" t="s">
        <v>194</v>
      </c>
      <c r="D9" s="25" t="n">
        <v>0.1</v>
      </c>
      <c r="E9" s="25" t="n">
        <v>0.15</v>
      </c>
      <c r="F9" s="25" t="n">
        <v>0</v>
      </c>
      <c r="G9" s="25" t="n">
        <v>0.6</v>
      </c>
      <c r="H9" s="25" t="n">
        <v>0.15</v>
      </c>
      <c r="I9" s="26" t="n">
        <f aca="false">SUM(D9:H9)</f>
        <v>1</v>
      </c>
      <c r="J9" s="25" t="n">
        <v>0.1</v>
      </c>
      <c r="K9" s="25" t="n">
        <v>0</v>
      </c>
      <c r="L9" s="25" t="n">
        <v>0.4</v>
      </c>
      <c r="M9" s="25" t="n">
        <v>0.4</v>
      </c>
      <c r="N9" s="25" t="n">
        <v>0.1</v>
      </c>
      <c r="O9" s="26" t="n">
        <f aca="false">SUM(J9:N9)</f>
        <v>1</v>
      </c>
      <c r="P9" s="13" t="s">
        <v>195</v>
      </c>
      <c r="Q9" s="13" t="s">
        <v>196</v>
      </c>
    </row>
    <row r="10" customFormat="false" ht="26.85" hidden="false" customHeight="false" outlineLevel="0" collapsed="false">
      <c r="A10" s="22" t="s">
        <v>189</v>
      </c>
      <c r="B10" s="13" t="s">
        <v>197</v>
      </c>
      <c r="C10" s="13" t="s">
        <v>198</v>
      </c>
      <c r="D10" s="25" t="n">
        <v>0.05</v>
      </c>
      <c r="E10" s="25" t="n">
        <v>0.25</v>
      </c>
      <c r="F10" s="25" t="n">
        <v>0.15</v>
      </c>
      <c r="G10" s="25" t="n">
        <v>0.3</v>
      </c>
      <c r="H10" s="25" t="n">
        <v>0.25</v>
      </c>
      <c r="I10" s="26" t="n">
        <f aca="false">SUM(D10:H10)</f>
        <v>1</v>
      </c>
      <c r="J10" s="25" t="n">
        <v>0.15</v>
      </c>
      <c r="K10" s="25" t="n">
        <v>0.1</v>
      </c>
      <c r="L10" s="25" t="n">
        <v>0.25</v>
      </c>
      <c r="M10" s="25" t="n">
        <v>0.4</v>
      </c>
      <c r="N10" s="25" t="n">
        <v>0.1</v>
      </c>
      <c r="O10" s="26" t="n">
        <f aca="false">SUM(J10:N10)</f>
        <v>1</v>
      </c>
      <c r="P10" s="13" t="s">
        <v>199</v>
      </c>
      <c r="Q10" s="13" t="s">
        <v>200</v>
      </c>
    </row>
    <row r="11" customFormat="false" ht="26.85" hidden="false" customHeight="false" outlineLevel="0" collapsed="false">
      <c r="A11" s="22" t="s">
        <v>201</v>
      </c>
      <c r="B11" s="13" t="s">
        <v>202</v>
      </c>
      <c r="C11" s="13" t="s">
        <v>203</v>
      </c>
      <c r="D11" s="25" t="n">
        <v>0.15</v>
      </c>
      <c r="E11" s="25" t="n">
        <v>0.3</v>
      </c>
      <c r="F11" s="25" t="n">
        <v>0.2</v>
      </c>
      <c r="G11" s="25" t="n">
        <v>0.3</v>
      </c>
      <c r="H11" s="25" t="n">
        <v>0.05</v>
      </c>
      <c r="I11" s="26" t="n">
        <f aca="false">SUM(D11:H11)</f>
        <v>1</v>
      </c>
      <c r="J11" s="25" t="n">
        <v>0.2</v>
      </c>
      <c r="K11" s="25" t="n">
        <v>0.15</v>
      </c>
      <c r="L11" s="25" t="n">
        <v>0.3</v>
      </c>
      <c r="M11" s="25" t="n">
        <v>0.25</v>
      </c>
      <c r="N11" s="25" t="n">
        <v>0.1</v>
      </c>
      <c r="O11" s="26" t="n">
        <f aca="false">SUM(J11:N11)</f>
        <v>1</v>
      </c>
      <c r="P11" s="13" t="s">
        <v>204</v>
      </c>
      <c r="Q11" s="13" t="s">
        <v>205</v>
      </c>
    </row>
    <row r="12" customFormat="false" ht="26.85" hidden="false" customHeight="false" outlineLevel="0" collapsed="false">
      <c r="A12" s="22" t="s">
        <v>201</v>
      </c>
      <c r="B12" s="13" t="s">
        <v>206</v>
      </c>
      <c r="C12" s="13" t="s">
        <v>207</v>
      </c>
      <c r="D12" s="25" t="n">
        <v>0.1</v>
      </c>
      <c r="E12" s="25" t="n">
        <v>0.25</v>
      </c>
      <c r="F12" s="25" t="n">
        <v>0</v>
      </c>
      <c r="G12" s="25" t="n">
        <v>0.55</v>
      </c>
      <c r="H12" s="25" t="n">
        <v>0.1</v>
      </c>
      <c r="I12" s="26" t="n">
        <f aca="false">SUM(D12:H12)</f>
        <v>1</v>
      </c>
      <c r="J12" s="25" t="n">
        <v>0.15</v>
      </c>
      <c r="K12" s="25" t="n">
        <v>0</v>
      </c>
      <c r="L12" s="25" t="n">
        <v>0.4</v>
      </c>
      <c r="M12" s="25" t="n">
        <v>0.35</v>
      </c>
      <c r="N12" s="25" t="n">
        <v>0.1</v>
      </c>
      <c r="O12" s="26" t="n">
        <f aca="false">SUM(J12:N12)</f>
        <v>1</v>
      </c>
      <c r="P12" s="13" t="s">
        <v>208</v>
      </c>
      <c r="Q12" s="13" t="s">
        <v>209</v>
      </c>
    </row>
    <row r="13" customFormat="false" ht="26.85" hidden="false" customHeight="false" outlineLevel="0" collapsed="false">
      <c r="A13" s="22" t="s">
        <v>201</v>
      </c>
      <c r="B13" s="13" t="s">
        <v>210</v>
      </c>
      <c r="C13" s="13" t="s">
        <v>211</v>
      </c>
      <c r="D13" s="25" t="n">
        <v>0.05</v>
      </c>
      <c r="E13" s="25" t="n">
        <v>0.25</v>
      </c>
      <c r="F13" s="25" t="n">
        <v>0.15</v>
      </c>
      <c r="G13" s="25" t="n">
        <v>0.3</v>
      </c>
      <c r="H13" s="25" t="n">
        <v>0.25</v>
      </c>
      <c r="I13" s="26" t="n">
        <f aca="false">SUM(D13:H13)</f>
        <v>1</v>
      </c>
      <c r="J13" s="25" t="n">
        <v>0.15</v>
      </c>
      <c r="K13" s="25" t="n">
        <v>0.1</v>
      </c>
      <c r="L13" s="25" t="n">
        <v>0.25</v>
      </c>
      <c r="M13" s="25" t="n">
        <v>0.4</v>
      </c>
      <c r="N13" s="25" t="n">
        <v>0.1</v>
      </c>
      <c r="O13" s="26" t="n">
        <f aca="false">SUM(J13:N13)</f>
        <v>1</v>
      </c>
      <c r="P13" s="13" t="s">
        <v>212</v>
      </c>
      <c r="Q13" s="13" t="s">
        <v>213</v>
      </c>
    </row>
    <row r="14" customFormat="false" ht="26.85" hidden="false" customHeight="false" outlineLevel="0" collapsed="false">
      <c r="A14" s="22" t="s">
        <v>214</v>
      </c>
      <c r="B14" s="13" t="s">
        <v>215</v>
      </c>
      <c r="C14" s="13" t="s">
        <v>216</v>
      </c>
      <c r="D14" s="25" t="n">
        <v>0.15</v>
      </c>
      <c r="E14" s="25" t="n">
        <v>0.4</v>
      </c>
      <c r="F14" s="25" t="n">
        <v>0.25</v>
      </c>
      <c r="G14" s="25" t="n">
        <v>0.15</v>
      </c>
      <c r="H14" s="25" t="n">
        <v>0.05</v>
      </c>
      <c r="I14" s="26" t="n">
        <f aca="false">SUM(D14:H14)</f>
        <v>1</v>
      </c>
      <c r="J14" s="25" t="n">
        <v>0.3</v>
      </c>
      <c r="K14" s="25" t="n">
        <v>0.2</v>
      </c>
      <c r="L14" s="25" t="n">
        <v>0.15</v>
      </c>
      <c r="M14" s="25" t="n">
        <v>0.25</v>
      </c>
      <c r="N14" s="25" t="n">
        <v>0.1</v>
      </c>
      <c r="O14" s="26" t="n">
        <f aca="false">SUM(J14:N14)</f>
        <v>1</v>
      </c>
      <c r="P14" s="13" t="s">
        <v>217</v>
      </c>
      <c r="Q14" s="13" t="s">
        <v>218</v>
      </c>
    </row>
    <row r="15" customFormat="false" ht="39.55" hidden="false" customHeight="false" outlineLevel="0" collapsed="false">
      <c r="A15" s="22" t="s">
        <v>214</v>
      </c>
      <c r="B15" s="13" t="s">
        <v>219</v>
      </c>
      <c r="C15" s="13" t="s">
        <v>220</v>
      </c>
      <c r="D15" s="25" t="n">
        <v>0.05</v>
      </c>
      <c r="E15" s="25" t="n">
        <v>0.15</v>
      </c>
      <c r="F15" s="25" t="n">
        <v>0.1</v>
      </c>
      <c r="G15" s="25" t="n">
        <v>0.3</v>
      </c>
      <c r="H15" s="25" t="n">
        <v>0.4</v>
      </c>
      <c r="I15" s="26" t="n">
        <f aca="false">SUM(D15:H15)</f>
        <v>1</v>
      </c>
      <c r="J15" s="25" t="n">
        <v>0.1</v>
      </c>
      <c r="K15" s="25" t="n">
        <v>0.05</v>
      </c>
      <c r="L15" s="25" t="n">
        <v>0.2</v>
      </c>
      <c r="M15" s="25" t="n">
        <v>0.55</v>
      </c>
      <c r="N15" s="25" t="n">
        <v>0.1</v>
      </c>
      <c r="O15" s="26" t="n">
        <f aca="false">SUM(J15:N15)</f>
        <v>1</v>
      </c>
      <c r="P15" s="13" t="s">
        <v>221</v>
      </c>
      <c r="Q15" s="13" t="s">
        <v>222</v>
      </c>
    </row>
    <row r="16" customFormat="false" ht="39.55" hidden="false" customHeight="false" outlineLevel="0" collapsed="false">
      <c r="A16" s="22" t="s">
        <v>223</v>
      </c>
      <c r="B16" s="13" t="s">
        <v>224</v>
      </c>
      <c r="C16" s="13" t="s">
        <v>225</v>
      </c>
      <c r="D16" s="25" t="n">
        <v>0.1</v>
      </c>
      <c r="E16" s="25" t="n">
        <v>0.3</v>
      </c>
      <c r="F16" s="25" t="n">
        <v>0.2</v>
      </c>
      <c r="G16" s="25" t="n">
        <v>0</v>
      </c>
      <c r="H16" s="25" t="n">
        <v>0.4</v>
      </c>
      <c r="I16" s="26" t="n">
        <f aca="false">SUM(D16:H16)</f>
        <v>1</v>
      </c>
      <c r="J16" s="25" t="n">
        <v>0.25</v>
      </c>
      <c r="K16" s="25" t="n">
        <v>0.15</v>
      </c>
      <c r="L16" s="25" t="n">
        <v>0</v>
      </c>
      <c r="M16" s="25" t="n">
        <v>0.45</v>
      </c>
      <c r="N16" s="25" t="n">
        <v>0.15</v>
      </c>
      <c r="O16" s="26" t="n">
        <f aca="false">SUM(J16:N16)</f>
        <v>1</v>
      </c>
      <c r="P16" s="13" t="s">
        <v>226</v>
      </c>
      <c r="Q16" s="13" t="s">
        <v>227</v>
      </c>
    </row>
    <row r="17" customFormat="false" ht="26.85" hidden="false" customHeight="false" outlineLevel="0" collapsed="false">
      <c r="A17" s="22" t="s">
        <v>223</v>
      </c>
      <c r="B17" s="13" t="s">
        <v>228</v>
      </c>
      <c r="C17" s="13" t="s">
        <v>229</v>
      </c>
      <c r="D17" s="25" t="n">
        <v>0.15</v>
      </c>
      <c r="E17" s="25" t="n">
        <v>0.3</v>
      </c>
      <c r="F17" s="25" t="n">
        <v>0.15</v>
      </c>
      <c r="G17" s="25" t="n">
        <v>0</v>
      </c>
      <c r="H17" s="25" t="n">
        <v>0.4</v>
      </c>
      <c r="I17" s="26" t="n">
        <f aca="false">SUM(D17:H17)</f>
        <v>1</v>
      </c>
      <c r="J17" s="25" t="n">
        <v>0.2</v>
      </c>
      <c r="K17" s="25" t="n">
        <v>0.1</v>
      </c>
      <c r="L17" s="25" t="n">
        <v>0</v>
      </c>
      <c r="M17" s="25" t="n">
        <v>0.55</v>
      </c>
      <c r="N17" s="25" t="n">
        <v>0.15</v>
      </c>
      <c r="O17" s="26" t="n">
        <f aca="false">SUM(J17:N17)</f>
        <v>1</v>
      </c>
      <c r="P17" s="13" t="s">
        <v>230</v>
      </c>
      <c r="Q17" s="13" t="s">
        <v>231</v>
      </c>
    </row>
    <row r="18" customFormat="false" ht="26.85" hidden="false" customHeight="false" outlineLevel="0" collapsed="false">
      <c r="A18" s="22" t="s">
        <v>223</v>
      </c>
      <c r="B18" s="13" t="s">
        <v>232</v>
      </c>
      <c r="C18" s="13" t="s">
        <v>233</v>
      </c>
      <c r="D18" s="25" t="n">
        <v>0</v>
      </c>
      <c r="E18" s="25" t="n">
        <v>0.1</v>
      </c>
      <c r="F18" s="25" t="n">
        <v>0.1</v>
      </c>
      <c r="G18" s="25" t="n">
        <v>0</v>
      </c>
      <c r="H18" s="25" t="n">
        <v>0.8</v>
      </c>
      <c r="I18" s="26" t="n">
        <f aca="false">SUM(D18:H18)</f>
        <v>1</v>
      </c>
      <c r="J18" s="25" t="n">
        <v>0.1</v>
      </c>
      <c r="K18" s="25" t="n">
        <v>0.05</v>
      </c>
      <c r="L18" s="25" t="n">
        <v>0</v>
      </c>
      <c r="M18" s="25" t="n">
        <v>0.75</v>
      </c>
      <c r="N18" s="25" t="n">
        <v>0.1</v>
      </c>
      <c r="O18" s="26" t="n">
        <f aca="false">SUM(J18:N18)</f>
        <v>1</v>
      </c>
      <c r="P18" s="13" t="s">
        <v>234</v>
      </c>
      <c r="Q18" s="13" t="s">
        <v>235</v>
      </c>
    </row>
    <row r="19" customFormat="false" ht="26.85" hidden="false" customHeight="false" outlineLevel="0" collapsed="false">
      <c r="A19" s="22" t="s">
        <v>39</v>
      </c>
      <c r="B19" s="13" t="s">
        <v>236</v>
      </c>
      <c r="C19" s="13" t="s">
        <v>237</v>
      </c>
      <c r="D19" s="25" t="n">
        <v>0.1</v>
      </c>
      <c r="E19" s="25" t="n">
        <v>0.1</v>
      </c>
      <c r="F19" s="25" t="n">
        <v>0.1</v>
      </c>
      <c r="G19" s="25" t="n">
        <v>0.3</v>
      </c>
      <c r="H19" s="25" t="n">
        <v>0.4</v>
      </c>
      <c r="I19" s="26" t="n">
        <f aca="false">SUM(D19:H19)</f>
        <v>1</v>
      </c>
      <c r="J19" s="25" t="n">
        <v>0.05</v>
      </c>
      <c r="K19" s="25" t="n">
        <v>0.05</v>
      </c>
      <c r="L19" s="25" t="n">
        <v>0.25</v>
      </c>
      <c r="M19" s="25" t="n">
        <v>0.55</v>
      </c>
      <c r="N19" s="25" t="n">
        <v>0.1</v>
      </c>
      <c r="O19" s="26" t="n">
        <f aca="false">SUM(J19:N19)</f>
        <v>1</v>
      </c>
      <c r="P19" s="13" t="s">
        <v>238</v>
      </c>
      <c r="Q19" s="13" t="s">
        <v>239</v>
      </c>
    </row>
    <row r="20" customFormat="false" ht="26.85" hidden="false" customHeight="false" outlineLevel="0" collapsed="false">
      <c r="A20" s="22" t="s">
        <v>39</v>
      </c>
      <c r="B20" s="13" t="s">
        <v>240</v>
      </c>
      <c r="C20" s="13" t="s">
        <v>241</v>
      </c>
      <c r="D20" s="25" t="n">
        <v>0.1</v>
      </c>
      <c r="E20" s="25" t="n">
        <v>0.1</v>
      </c>
      <c r="F20" s="25" t="n">
        <v>0.05</v>
      </c>
      <c r="G20" s="25" t="n">
        <v>0.15</v>
      </c>
      <c r="H20" s="25" t="n">
        <v>0.6</v>
      </c>
      <c r="I20" s="26" t="n">
        <f aca="false">SUM(D20:H20)</f>
        <v>1</v>
      </c>
      <c r="J20" s="25" t="n">
        <v>0.05</v>
      </c>
      <c r="K20" s="25" t="n">
        <v>0.05</v>
      </c>
      <c r="L20" s="25" t="n">
        <v>0.1</v>
      </c>
      <c r="M20" s="25" t="n">
        <v>0.7</v>
      </c>
      <c r="N20" s="25" t="n">
        <v>0.1</v>
      </c>
      <c r="O20" s="26" t="n">
        <f aca="false">SUM(J20:N20)</f>
        <v>1</v>
      </c>
      <c r="P20" s="13" t="s">
        <v>242</v>
      </c>
      <c r="Q20" s="13" t="s">
        <v>243</v>
      </c>
    </row>
    <row r="21" customFormat="false" ht="26.85" hidden="false" customHeight="false" outlineLevel="0" collapsed="false">
      <c r="A21" s="22" t="s">
        <v>244</v>
      </c>
      <c r="B21" s="13" t="s">
        <v>245</v>
      </c>
      <c r="C21" s="13" t="s">
        <v>246</v>
      </c>
      <c r="D21" s="25" t="n">
        <v>0.1</v>
      </c>
      <c r="E21" s="25" t="n">
        <v>0.1</v>
      </c>
      <c r="F21" s="25" t="n">
        <v>0</v>
      </c>
      <c r="G21" s="25" t="n">
        <v>0.6</v>
      </c>
      <c r="H21" s="25" t="n">
        <v>0.2</v>
      </c>
      <c r="I21" s="26" t="n">
        <f aca="false">SUM(D21:H21)</f>
        <v>1</v>
      </c>
      <c r="J21" s="25" t="n">
        <v>0.05</v>
      </c>
      <c r="K21" s="25" t="n">
        <v>0</v>
      </c>
      <c r="L21" s="25" t="n">
        <v>0.35</v>
      </c>
      <c r="M21" s="25" t="n">
        <v>0.5</v>
      </c>
      <c r="N21" s="25" t="n">
        <v>0.1</v>
      </c>
      <c r="O21" s="26" t="n">
        <f aca="false">SUM(J21:N21)</f>
        <v>1</v>
      </c>
      <c r="P21" s="13" t="s">
        <v>247</v>
      </c>
      <c r="Q21" s="13" t="s">
        <v>248</v>
      </c>
    </row>
    <row r="22" customFormat="false" ht="26.85" hidden="false" customHeight="false" outlineLevel="0" collapsed="false">
      <c r="A22" s="22" t="s">
        <v>249</v>
      </c>
      <c r="B22" s="13" t="s">
        <v>250</v>
      </c>
      <c r="C22" s="13" t="s">
        <v>251</v>
      </c>
      <c r="D22" s="25" t="n">
        <v>0.05</v>
      </c>
      <c r="E22" s="25" t="n">
        <v>0.65</v>
      </c>
      <c r="F22" s="25" t="n">
        <v>0.1</v>
      </c>
      <c r="G22" s="25" t="n">
        <v>0.1</v>
      </c>
      <c r="H22" s="25" t="n">
        <v>0.1</v>
      </c>
      <c r="I22" s="26" t="n">
        <f aca="false">SUM(D22:H22)</f>
        <v>1</v>
      </c>
      <c r="J22" s="25" t="n">
        <v>0.55</v>
      </c>
      <c r="K22" s="25" t="n">
        <v>0.1</v>
      </c>
      <c r="L22" s="25" t="n">
        <v>0.1</v>
      </c>
      <c r="M22" s="25" t="n">
        <v>0.15</v>
      </c>
      <c r="N22" s="25" t="n">
        <v>0.1</v>
      </c>
      <c r="O22" s="26" t="n">
        <f aca="false">SUM(J22:N22)</f>
        <v>1</v>
      </c>
      <c r="P22" s="13" t="s">
        <v>252</v>
      </c>
      <c r="Q22" s="13" t="s">
        <v>253</v>
      </c>
    </row>
    <row r="23" customFormat="false" ht="26.85" hidden="false" customHeight="false" outlineLevel="0" collapsed="false">
      <c r="A23" s="22" t="s">
        <v>249</v>
      </c>
      <c r="B23" s="13" t="s">
        <v>254</v>
      </c>
      <c r="C23" s="13" t="s">
        <v>255</v>
      </c>
      <c r="D23" s="25" t="n">
        <v>0.15</v>
      </c>
      <c r="E23" s="25" t="n">
        <v>0.3</v>
      </c>
      <c r="F23" s="25" t="n">
        <v>0.05</v>
      </c>
      <c r="G23" s="25" t="n">
        <v>0.4</v>
      </c>
      <c r="H23" s="25" t="n">
        <v>0.1</v>
      </c>
      <c r="I23" s="26" t="n">
        <f aca="false">SUM(D23:H23)</f>
        <v>1</v>
      </c>
      <c r="J23" s="25" t="n">
        <v>0.2</v>
      </c>
      <c r="K23" s="25" t="n">
        <v>0.05</v>
      </c>
      <c r="L23" s="25" t="n">
        <v>0.35</v>
      </c>
      <c r="M23" s="25" t="n">
        <v>0.3</v>
      </c>
      <c r="N23" s="25" t="n">
        <v>0.1</v>
      </c>
      <c r="O23" s="26" t="n">
        <f aca="false">SUM(J23:N23)</f>
        <v>1</v>
      </c>
      <c r="P23" s="13" t="s">
        <v>256</v>
      </c>
      <c r="Q23" s="13" t="s">
        <v>257</v>
      </c>
    </row>
    <row r="24" customFormat="false" ht="26.85" hidden="false" customHeight="false" outlineLevel="0" collapsed="false">
      <c r="A24" s="22" t="s">
        <v>249</v>
      </c>
      <c r="B24" s="13" t="s">
        <v>258</v>
      </c>
      <c r="C24" s="13" t="s">
        <v>259</v>
      </c>
      <c r="D24" s="25" t="n">
        <v>0.05</v>
      </c>
      <c r="E24" s="25" t="n">
        <v>0.25</v>
      </c>
      <c r="F24" s="25" t="n">
        <v>0.1</v>
      </c>
      <c r="G24" s="25" t="n">
        <v>0.2</v>
      </c>
      <c r="H24" s="25" t="n">
        <v>0.4</v>
      </c>
      <c r="I24" s="26" t="n">
        <f aca="false">SUM(D24:H24)</f>
        <v>1</v>
      </c>
      <c r="J24" s="25" t="n">
        <v>0.15</v>
      </c>
      <c r="K24" s="25" t="n">
        <v>0.05</v>
      </c>
      <c r="L24" s="25" t="n">
        <v>0.15</v>
      </c>
      <c r="M24" s="25" t="n">
        <v>0.55</v>
      </c>
      <c r="N24" s="25" t="n">
        <v>0.1</v>
      </c>
      <c r="O24" s="26" t="n">
        <f aca="false">SUM(J24:N24)</f>
        <v>1</v>
      </c>
      <c r="P24" s="13" t="s">
        <v>260</v>
      </c>
      <c r="Q24" s="13" t="s">
        <v>261</v>
      </c>
    </row>
    <row r="25" customFormat="false" ht="26.85" hidden="false" customHeight="false" outlineLevel="0" collapsed="false">
      <c r="A25" s="22" t="s">
        <v>262</v>
      </c>
      <c r="B25" s="13" t="s">
        <v>263</v>
      </c>
      <c r="C25" s="13" t="s">
        <v>264</v>
      </c>
      <c r="D25" s="25" t="n">
        <v>0.15</v>
      </c>
      <c r="E25" s="25" t="n">
        <v>0.35</v>
      </c>
      <c r="F25" s="25" t="n">
        <v>0.2</v>
      </c>
      <c r="G25" s="25" t="n">
        <v>0.25</v>
      </c>
      <c r="H25" s="25" t="n">
        <v>0.05</v>
      </c>
      <c r="I25" s="26" t="n">
        <f aca="false">SUM(D25:H25)</f>
        <v>1</v>
      </c>
      <c r="J25" s="25" t="n">
        <v>0.25</v>
      </c>
      <c r="K25" s="25" t="n">
        <v>0.15</v>
      </c>
      <c r="L25" s="25" t="n">
        <v>0.25</v>
      </c>
      <c r="M25" s="25" t="n">
        <v>0.25</v>
      </c>
      <c r="N25" s="25" t="n">
        <v>0.1</v>
      </c>
      <c r="O25" s="26" t="n">
        <f aca="false">SUM(J25:N25)</f>
        <v>1</v>
      </c>
      <c r="P25" s="13" t="s">
        <v>265</v>
      </c>
      <c r="Q25" s="13" t="s">
        <v>266</v>
      </c>
    </row>
    <row r="26" customFormat="false" ht="26.85" hidden="false" customHeight="false" outlineLevel="0" collapsed="false">
      <c r="A26" s="22" t="s">
        <v>262</v>
      </c>
      <c r="B26" s="13" t="s">
        <v>267</v>
      </c>
      <c r="C26" s="13" t="s">
        <v>268</v>
      </c>
      <c r="D26" s="25" t="n">
        <v>0.1</v>
      </c>
      <c r="E26" s="25" t="n">
        <v>0.2</v>
      </c>
      <c r="F26" s="25" t="n">
        <v>0</v>
      </c>
      <c r="G26" s="25" t="n">
        <v>0.6</v>
      </c>
      <c r="H26" s="25" t="n">
        <v>0.1</v>
      </c>
      <c r="I26" s="26" t="n">
        <f aca="false">SUM(D26:H26)</f>
        <v>1</v>
      </c>
      <c r="J26" s="25" t="n">
        <v>0.1</v>
      </c>
      <c r="K26" s="25" t="n">
        <v>0</v>
      </c>
      <c r="L26" s="25" t="n">
        <v>0.45</v>
      </c>
      <c r="M26" s="25" t="n">
        <v>0.35</v>
      </c>
      <c r="N26" s="25" t="n">
        <v>0.1</v>
      </c>
      <c r="O26" s="26" t="n">
        <f aca="false">SUM(J26:N26)</f>
        <v>1</v>
      </c>
      <c r="P26" s="13" t="s">
        <v>269</v>
      </c>
      <c r="Q26" s="13" t="s">
        <v>270</v>
      </c>
    </row>
    <row r="27" customFormat="false" ht="26.85" hidden="false" customHeight="false" outlineLevel="0" collapsed="false">
      <c r="A27" s="22" t="s">
        <v>262</v>
      </c>
      <c r="B27" s="13" t="s">
        <v>271</v>
      </c>
      <c r="C27" s="13" t="s">
        <v>272</v>
      </c>
      <c r="D27" s="25" t="n">
        <v>0.1</v>
      </c>
      <c r="E27" s="25" t="n">
        <v>0.15</v>
      </c>
      <c r="F27" s="25" t="n">
        <v>0</v>
      </c>
      <c r="G27" s="25" t="n">
        <v>0.55</v>
      </c>
      <c r="H27" s="25" t="n">
        <v>0.2</v>
      </c>
      <c r="I27" s="26" t="n">
        <f aca="false">SUM(D27:H27)</f>
        <v>1</v>
      </c>
      <c r="J27" s="25" t="n">
        <v>0.05</v>
      </c>
      <c r="K27" s="25" t="n">
        <v>0</v>
      </c>
      <c r="L27" s="25" t="n">
        <v>0.4</v>
      </c>
      <c r="M27" s="25" t="n">
        <v>0.45</v>
      </c>
      <c r="N27" s="25" t="n">
        <v>0.1</v>
      </c>
      <c r="O27" s="26" t="n">
        <f aca="false">SUM(J27:N27)</f>
        <v>1</v>
      </c>
      <c r="P27" s="13" t="s">
        <v>273</v>
      </c>
      <c r="Q27" s="13" t="s">
        <v>274</v>
      </c>
    </row>
    <row r="28" customFormat="false" ht="26.85" hidden="false" customHeight="false" outlineLevel="0" collapsed="false">
      <c r="A28" s="22" t="s">
        <v>275</v>
      </c>
      <c r="B28" s="13" t="s">
        <v>276</v>
      </c>
      <c r="C28" s="13" t="s">
        <v>277</v>
      </c>
      <c r="D28" s="25" t="n">
        <v>0.15</v>
      </c>
      <c r="E28" s="25" t="n">
        <v>0.4</v>
      </c>
      <c r="F28" s="25" t="n">
        <v>0.2</v>
      </c>
      <c r="G28" s="25" t="n">
        <v>0.2</v>
      </c>
      <c r="H28" s="25" t="n">
        <v>0.05</v>
      </c>
      <c r="I28" s="26" t="n">
        <f aca="false">SUM(D28:H28)</f>
        <v>1</v>
      </c>
      <c r="J28" s="25" t="n">
        <v>0.3</v>
      </c>
      <c r="K28" s="25" t="n">
        <v>0.15</v>
      </c>
      <c r="L28" s="25" t="n">
        <v>0.2</v>
      </c>
      <c r="M28" s="25" t="n">
        <v>0.25</v>
      </c>
      <c r="N28" s="25" t="n">
        <v>0.1</v>
      </c>
      <c r="O28" s="26" t="n">
        <f aca="false">SUM(J28:N28)</f>
        <v>1</v>
      </c>
      <c r="P28" s="13" t="s">
        <v>278</v>
      </c>
      <c r="Q28" s="13" t="s">
        <v>279</v>
      </c>
    </row>
    <row r="29" customFormat="false" ht="26.85" hidden="false" customHeight="false" outlineLevel="0" collapsed="false">
      <c r="A29" s="22" t="s">
        <v>275</v>
      </c>
      <c r="B29" s="13" t="s">
        <v>280</v>
      </c>
      <c r="C29" s="13" t="s">
        <v>281</v>
      </c>
      <c r="D29" s="25" t="n">
        <v>0.05</v>
      </c>
      <c r="E29" s="25" t="n">
        <v>0.15</v>
      </c>
      <c r="F29" s="25" t="n">
        <v>0.1</v>
      </c>
      <c r="G29" s="25" t="n">
        <v>0.4</v>
      </c>
      <c r="H29" s="25" t="n">
        <v>0.3</v>
      </c>
      <c r="I29" s="26" t="n">
        <f aca="false">SUM(D29:H29)</f>
        <v>1</v>
      </c>
      <c r="J29" s="25" t="n">
        <v>0.1</v>
      </c>
      <c r="K29" s="25" t="n">
        <v>0.05</v>
      </c>
      <c r="L29" s="25" t="n">
        <v>0.3</v>
      </c>
      <c r="M29" s="25" t="n">
        <v>0.45</v>
      </c>
      <c r="N29" s="25" t="n">
        <v>0.1</v>
      </c>
      <c r="O29" s="26" t="n">
        <f aca="false">SUM(J29:N29)</f>
        <v>1</v>
      </c>
      <c r="P29" s="13" t="s">
        <v>282</v>
      </c>
      <c r="Q29" s="13" t="s">
        <v>283</v>
      </c>
    </row>
    <row r="31" customFormat="false" ht="15" hidden="false" customHeight="false" outlineLevel="0" collapsed="false">
      <c r="A31" s="6" t="s">
        <v>284</v>
      </c>
      <c r="B31" s="27" t="s">
        <v>285</v>
      </c>
      <c r="C31" s="27"/>
      <c r="D31" s="27"/>
      <c r="E31" s="27"/>
      <c r="F31" s="27"/>
      <c r="G31" s="27"/>
      <c r="H31" s="27"/>
      <c r="I31" s="27"/>
      <c r="J31" s="27"/>
      <c r="K31" s="27"/>
      <c r="L31" s="27"/>
      <c r="M31" s="27"/>
      <c r="N31" s="27"/>
      <c r="O31" s="27"/>
      <c r="P31" s="27"/>
      <c r="Q31" s="27"/>
    </row>
  </sheetData>
  <mergeCells count="3">
    <mergeCell ref="D3:I3"/>
    <mergeCell ref="J3:O3"/>
    <mergeCell ref="B31:Q31"/>
  </mergeCells>
  <conditionalFormatting sqref="I5:I29">
    <cfRule type="expression" priority="2" aboveAverage="0" equalAverage="0" bottom="0" percent="0" rank="0" text="" dxfId="3">
      <formula>ROUND(I5,2)&lt;&gt;1</formula>
    </cfRule>
  </conditionalFormatting>
  <conditionalFormatting sqref="O5:O29">
    <cfRule type="expression" priority="3" aboveAverage="0" equalAverage="0" bottom="0" percent="0" rank="0" text="" dxfId="3">
      <formula>ROUND(O5,2)&lt;&gt;1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8"/>
    <col collapsed="false" customWidth="true" hidden="false" outlineLevel="0" max="3" min="3" style="0" width="10"/>
    <col collapsed="false" customWidth="true" hidden="false" outlineLevel="0" max="4" min="4" style="0" width="8"/>
    <col collapsed="false" customWidth="true" hidden="false" outlineLevel="0" max="5" min="5" style="0" width="10"/>
    <col collapsed="false" customWidth="true" hidden="false" outlineLevel="0" max="6" min="6" style="0" width="40"/>
    <col collapsed="false" customWidth="true" hidden="false" outlineLevel="0" max="7" min="7" style="0" width="38"/>
    <col collapsed="false" customWidth="true" hidden="false" outlineLevel="0" max="8" min="8" style="0" width="36"/>
    <col collapsed="false" customWidth="true" hidden="false" outlineLevel="0" max="10" min="9" style="0" width="9"/>
  </cols>
  <sheetData>
    <row r="1" customFormat="false" ht="19.7" hidden="false" customHeight="false" outlineLevel="0" collapsed="false">
      <c r="A1" s="1" t="s">
        <v>286</v>
      </c>
    </row>
    <row r="2" customFormat="false" ht="15" hidden="false" customHeight="false" outlineLevel="0" collapsed="false">
      <c r="A2" s="2" t="s">
        <v>287</v>
      </c>
    </row>
    <row r="3" customFormat="false" ht="15" hidden="false" customHeight="false" outlineLevel="0" collapsed="false">
      <c r="A3" s="6" t="s">
        <v>288</v>
      </c>
      <c r="B3" s="11" t="n">
        <v>16</v>
      </c>
      <c r="C3" s="8" t="s">
        <v>289</v>
      </c>
    </row>
    <row r="5" customFormat="false" ht="26.85" hidden="false" customHeight="false" outlineLevel="0" collapsed="false">
      <c r="A5" s="12" t="s">
        <v>164</v>
      </c>
      <c r="B5" s="12" t="s">
        <v>290</v>
      </c>
      <c r="C5" s="12" t="s">
        <v>291</v>
      </c>
      <c r="D5" s="12" t="s">
        <v>292</v>
      </c>
      <c r="E5" s="12" t="s">
        <v>293</v>
      </c>
      <c r="F5" s="12" t="s">
        <v>294</v>
      </c>
      <c r="G5" s="12" t="s">
        <v>295</v>
      </c>
      <c r="H5" s="12" t="s">
        <v>296</v>
      </c>
      <c r="I5" s="12" t="s">
        <v>297</v>
      </c>
      <c r="J5" s="12" t="s">
        <v>298</v>
      </c>
    </row>
    <row r="6" customFormat="false" ht="39.55" hidden="false" customHeight="false" outlineLevel="0" collapsed="false">
      <c r="A6" s="22" t="s">
        <v>223</v>
      </c>
      <c r="B6" s="13" t="s">
        <v>299</v>
      </c>
      <c r="C6" s="18" t="s">
        <v>300</v>
      </c>
      <c r="D6" s="18" t="n">
        <v>3</v>
      </c>
      <c r="E6" s="28" t="n">
        <f aca="false">$B$3*D6/SUM($D$6:$D$15)</f>
        <v>2.23255813953488</v>
      </c>
      <c r="F6" s="13" t="s">
        <v>301</v>
      </c>
      <c r="G6" s="13" t="s">
        <v>302</v>
      </c>
      <c r="H6" s="13" t="s">
        <v>303</v>
      </c>
      <c r="I6" s="18" t="s">
        <v>304</v>
      </c>
      <c r="J6" s="18" t="s">
        <v>305</v>
      </c>
    </row>
    <row r="7" customFormat="false" ht="39.55" hidden="false" customHeight="false" outlineLevel="0" collapsed="false">
      <c r="A7" s="22" t="s">
        <v>36</v>
      </c>
      <c r="B7" s="13" t="s">
        <v>306</v>
      </c>
      <c r="C7" s="18" t="s">
        <v>300</v>
      </c>
      <c r="D7" s="18" t="n">
        <v>3</v>
      </c>
      <c r="E7" s="28" t="n">
        <f aca="false">$B$3*D7/SUM($D$6:$D$15)</f>
        <v>2.23255813953488</v>
      </c>
      <c r="F7" s="13" t="s">
        <v>307</v>
      </c>
      <c r="G7" s="13" t="s">
        <v>308</v>
      </c>
      <c r="H7" s="13" t="s">
        <v>309</v>
      </c>
      <c r="I7" s="18" t="s">
        <v>310</v>
      </c>
      <c r="J7" s="18" t="s">
        <v>305</v>
      </c>
    </row>
    <row r="8" customFormat="false" ht="39.55" hidden="false" customHeight="false" outlineLevel="0" collapsed="false">
      <c r="A8" s="22" t="s">
        <v>214</v>
      </c>
      <c r="B8" s="13" t="s">
        <v>311</v>
      </c>
      <c r="C8" s="18" t="s">
        <v>300</v>
      </c>
      <c r="D8" s="18" t="n">
        <v>3</v>
      </c>
      <c r="E8" s="28" t="n">
        <f aca="false">$B$3*D8/SUM($D$6:$D$15)</f>
        <v>2.23255813953488</v>
      </c>
      <c r="F8" s="13" t="s">
        <v>312</v>
      </c>
      <c r="G8" s="13" t="s">
        <v>313</v>
      </c>
      <c r="H8" s="13" t="s">
        <v>314</v>
      </c>
      <c r="I8" s="18" t="s">
        <v>304</v>
      </c>
      <c r="J8" s="18" t="s">
        <v>305</v>
      </c>
    </row>
    <row r="9" customFormat="false" ht="26.85" hidden="false" customHeight="false" outlineLevel="0" collapsed="false">
      <c r="A9" s="22" t="s">
        <v>201</v>
      </c>
      <c r="B9" s="13" t="s">
        <v>315</v>
      </c>
      <c r="C9" s="18" t="s">
        <v>316</v>
      </c>
      <c r="D9" s="18" t="n">
        <v>2</v>
      </c>
      <c r="E9" s="28" t="n">
        <f aca="false">$B$3*D9/SUM($D$6:$D$15)</f>
        <v>1.48837209302326</v>
      </c>
      <c r="F9" s="13" t="s">
        <v>317</v>
      </c>
      <c r="G9" s="13" t="s">
        <v>318</v>
      </c>
      <c r="H9" s="13" t="s">
        <v>319</v>
      </c>
      <c r="I9" s="18" t="s">
        <v>310</v>
      </c>
      <c r="J9" s="18" t="s">
        <v>305</v>
      </c>
    </row>
    <row r="10" customFormat="false" ht="26.85" hidden="false" customHeight="false" outlineLevel="0" collapsed="false">
      <c r="A10" s="22" t="s">
        <v>189</v>
      </c>
      <c r="B10" s="13" t="s">
        <v>320</v>
      </c>
      <c r="C10" s="18" t="s">
        <v>316</v>
      </c>
      <c r="D10" s="18" t="n">
        <v>2</v>
      </c>
      <c r="E10" s="28" t="n">
        <f aca="false">$B$3*D10/SUM($D$6:$D$15)</f>
        <v>1.48837209302326</v>
      </c>
      <c r="F10" s="13" t="s">
        <v>321</v>
      </c>
      <c r="G10" s="13" t="s">
        <v>318</v>
      </c>
      <c r="H10" s="13" t="s">
        <v>322</v>
      </c>
      <c r="I10" s="18" t="s">
        <v>310</v>
      </c>
      <c r="J10" s="18" t="s">
        <v>305</v>
      </c>
    </row>
    <row r="11" customFormat="false" ht="39.55" hidden="false" customHeight="false" outlineLevel="0" collapsed="false">
      <c r="A11" s="22" t="s">
        <v>249</v>
      </c>
      <c r="B11" s="13" t="s">
        <v>323</v>
      </c>
      <c r="C11" s="18" t="s">
        <v>316</v>
      </c>
      <c r="D11" s="18" t="n">
        <v>2</v>
      </c>
      <c r="E11" s="28" t="n">
        <f aca="false">$B$3*D11/SUM($D$6:$D$15)</f>
        <v>1.48837209302326</v>
      </c>
      <c r="F11" s="13" t="s">
        <v>324</v>
      </c>
      <c r="G11" s="13" t="s">
        <v>325</v>
      </c>
      <c r="H11" s="13" t="s">
        <v>326</v>
      </c>
      <c r="I11" s="18" t="s">
        <v>304</v>
      </c>
      <c r="J11" s="18" t="s">
        <v>305</v>
      </c>
    </row>
    <row r="12" customFormat="false" ht="26.85" hidden="false" customHeight="false" outlineLevel="0" collapsed="false">
      <c r="A12" s="22" t="s">
        <v>262</v>
      </c>
      <c r="B12" s="13" t="s">
        <v>327</v>
      </c>
      <c r="C12" s="18" t="s">
        <v>316</v>
      </c>
      <c r="D12" s="18" t="n">
        <v>2</v>
      </c>
      <c r="E12" s="28" t="n">
        <f aca="false">$B$3*D12/SUM($D$6:$D$15)</f>
        <v>1.48837209302326</v>
      </c>
      <c r="F12" s="13" t="s">
        <v>328</v>
      </c>
      <c r="G12" s="13" t="s">
        <v>329</v>
      </c>
      <c r="H12" s="13" t="s">
        <v>330</v>
      </c>
      <c r="I12" s="18" t="s">
        <v>310</v>
      </c>
      <c r="J12" s="18" t="s">
        <v>305</v>
      </c>
    </row>
    <row r="13" customFormat="false" ht="26.85" hidden="false" customHeight="false" outlineLevel="0" collapsed="false">
      <c r="A13" s="22" t="s">
        <v>39</v>
      </c>
      <c r="B13" s="13" t="s">
        <v>331</v>
      </c>
      <c r="C13" s="18" t="s">
        <v>332</v>
      </c>
      <c r="D13" s="18" t="n">
        <v>1.5</v>
      </c>
      <c r="E13" s="28" t="n">
        <f aca="false">$B$3*D13/SUM($D$6:$D$15)</f>
        <v>1.11627906976744</v>
      </c>
      <c r="F13" s="13" t="s">
        <v>333</v>
      </c>
      <c r="G13" s="13" t="s">
        <v>334</v>
      </c>
      <c r="H13" s="13" t="s">
        <v>335</v>
      </c>
      <c r="I13" s="18" t="s">
        <v>304</v>
      </c>
      <c r="J13" s="18" t="s">
        <v>336</v>
      </c>
    </row>
    <row r="14" customFormat="false" ht="26.85" hidden="false" customHeight="false" outlineLevel="0" collapsed="false">
      <c r="A14" s="22" t="s">
        <v>244</v>
      </c>
      <c r="B14" s="13" t="s">
        <v>337</v>
      </c>
      <c r="C14" s="18" t="s">
        <v>332</v>
      </c>
      <c r="D14" s="18" t="n">
        <v>1.5</v>
      </c>
      <c r="E14" s="28" t="n">
        <f aca="false">$B$3*D14/SUM($D$6:$D$15)</f>
        <v>1.11627906976744</v>
      </c>
      <c r="F14" s="13" t="s">
        <v>338</v>
      </c>
      <c r="G14" s="13" t="s">
        <v>339</v>
      </c>
      <c r="H14" s="13" t="s">
        <v>340</v>
      </c>
      <c r="I14" s="18" t="s">
        <v>310</v>
      </c>
      <c r="J14" s="18" t="s">
        <v>305</v>
      </c>
    </row>
    <row r="15" customFormat="false" ht="39.55" hidden="false" customHeight="false" outlineLevel="0" collapsed="false">
      <c r="A15" s="22" t="s">
        <v>275</v>
      </c>
      <c r="B15" s="13" t="s">
        <v>341</v>
      </c>
      <c r="C15" s="18" t="s">
        <v>332</v>
      </c>
      <c r="D15" s="18" t="n">
        <v>1.5</v>
      </c>
      <c r="E15" s="28" t="n">
        <f aca="false">$B$3*D15/SUM($D$6:$D$15)</f>
        <v>1.11627906976744</v>
      </c>
      <c r="F15" s="13" t="s">
        <v>342</v>
      </c>
      <c r="G15" s="13" t="s">
        <v>343</v>
      </c>
      <c r="H15" s="13" t="s">
        <v>344</v>
      </c>
      <c r="I15" s="18" t="s">
        <v>304</v>
      </c>
      <c r="J15" s="18" t="s">
        <v>305</v>
      </c>
    </row>
    <row r="16" customFormat="false" ht="15" hidden="false" customHeight="false" outlineLevel="0" collapsed="false">
      <c r="A16" s="6" t="s">
        <v>41</v>
      </c>
      <c r="E16" s="29" t="n">
        <f aca="false">SUM(E6:E15)</f>
        <v>16</v>
      </c>
    </row>
    <row r="18" customFormat="false" ht="15" hidden="false" customHeight="false" outlineLevel="0" collapsed="false">
      <c r="A18" s="8" t="s">
        <v>345</v>
      </c>
    </row>
  </sheetData>
  <dataValidations count="1">
    <dataValidation allowBlank="false" errorStyle="stop" operator="between" showDropDown="false" showErrorMessage="false" showInputMessage="false" sqref="C6:C15"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22"/>
    <col collapsed="false" customWidth="true" hidden="false" outlineLevel="0" max="4" min="4" style="0" width="58"/>
    <col collapsed="false" customWidth="true" hidden="false" outlineLevel="0" max="5" min="5" style="0" width="12"/>
    <col collapsed="false" customWidth="true" hidden="false" outlineLevel="0" max="6" min="6" style="0" width="8"/>
    <col collapsed="false" customWidth="true" hidden="false" outlineLevel="0" max="7" min="7" style="0" width="12"/>
    <col collapsed="false" customWidth="true" hidden="false" outlineLevel="0" max="8" min="8" style="0" width="14"/>
    <col collapsed="false" customWidth="true" hidden="false" outlineLevel="0" max="9" min="9" style="0" width="8"/>
    <col collapsed="false" customWidth="true" hidden="false" outlineLevel="0" max="10" min="10" style="0" width="40"/>
  </cols>
  <sheetData>
    <row r="1" customFormat="false" ht="19.7" hidden="false" customHeight="false" outlineLevel="0" collapsed="false">
      <c r="A1" s="1" t="s">
        <v>346</v>
      </c>
    </row>
    <row r="2" customFormat="false" ht="15" hidden="false" customHeight="false" outlineLevel="0" collapsed="false">
      <c r="A2" s="2" t="s">
        <v>347</v>
      </c>
    </row>
    <row r="4" customFormat="false" ht="39.55" hidden="false" customHeight="false" outlineLevel="0" collapsed="false">
      <c r="A4" s="12" t="s">
        <v>348</v>
      </c>
      <c r="B4" s="12" t="s">
        <v>349</v>
      </c>
      <c r="C4" s="12" t="s">
        <v>121</v>
      </c>
      <c r="D4" s="12" t="s">
        <v>350</v>
      </c>
      <c r="E4" s="12" t="s">
        <v>351</v>
      </c>
      <c r="F4" s="12" t="s">
        <v>352</v>
      </c>
      <c r="G4" s="12" t="s">
        <v>353</v>
      </c>
      <c r="H4" s="12" t="s">
        <v>354</v>
      </c>
      <c r="I4" s="12" t="s">
        <v>96</v>
      </c>
      <c r="J4" s="12" t="s">
        <v>355</v>
      </c>
    </row>
    <row r="5" customFormat="false" ht="39.55" hidden="false" customHeight="false" outlineLevel="0" collapsed="false">
      <c r="A5" s="13" t="n">
        <v>1</v>
      </c>
      <c r="B5" s="30" t="n">
        <f aca="false">Phases!B5-WEEKDAY(Phases!B5,3)</f>
        <v>46307</v>
      </c>
      <c r="C5" s="13" t="str">
        <f aca="false">IFERROR(LOOKUP(B5,Phases!$B$5:$B$10,Phases!$A$5:$A$10),Phases!$A$5)</f>
        <v>0 November tests</v>
      </c>
      <c r="D5" s="13" t="s">
        <v>356</v>
      </c>
      <c r="E5" s="13" t="s">
        <v>357</v>
      </c>
      <c r="F5" s="15" t="n">
        <v>5</v>
      </c>
      <c r="G5" s="15" t="n">
        <v>4</v>
      </c>
      <c r="H5" s="15" t="n">
        <v>2</v>
      </c>
      <c r="I5" s="21" t="s">
        <v>61</v>
      </c>
      <c r="J5" s="16"/>
    </row>
    <row r="6" customFormat="false" ht="39.55" hidden="false" customHeight="false" outlineLevel="0" collapsed="false">
      <c r="A6" s="13" t="n">
        <v>2</v>
      </c>
      <c r="B6" s="30" t="n">
        <f aca="false">B5+7</f>
        <v>46314</v>
      </c>
      <c r="C6" s="13" t="str">
        <f aca="false">IFERROR(LOOKUP(B6,Phases!$B$5:$B$10,Phases!$A$5:$A$10),Phases!$A$5)</f>
        <v>0 November tests</v>
      </c>
      <c r="D6" s="13" t="s">
        <v>356</v>
      </c>
      <c r="E6" s="13" t="s">
        <v>357</v>
      </c>
      <c r="F6" s="15" t="n">
        <v>5</v>
      </c>
      <c r="G6" s="15" t="n">
        <v>4</v>
      </c>
      <c r="H6" s="15" t="n">
        <v>2</v>
      </c>
      <c r="I6" s="21" t="s">
        <v>61</v>
      </c>
      <c r="J6" s="16"/>
    </row>
    <row r="7" customFormat="false" ht="39.55" hidden="false" customHeight="false" outlineLevel="0" collapsed="false">
      <c r="A7" s="13" t="n">
        <v>3</v>
      </c>
      <c r="B7" s="30" t="n">
        <f aca="false">B6+7</f>
        <v>46321</v>
      </c>
      <c r="C7" s="13" t="str">
        <f aca="false">IFERROR(LOOKUP(B7,Phases!$B$5:$B$10,Phases!$A$5:$A$10),Phases!$A$5)</f>
        <v>0 November tests</v>
      </c>
      <c r="D7" s="13" t="s">
        <v>356</v>
      </c>
      <c r="E7" s="13" t="s">
        <v>357</v>
      </c>
      <c r="F7" s="15" t="n">
        <v>5</v>
      </c>
      <c r="G7" s="15" t="n">
        <v>4</v>
      </c>
      <c r="H7" s="15" t="n">
        <v>2</v>
      </c>
      <c r="I7" s="21" t="s">
        <v>61</v>
      </c>
      <c r="J7" s="16"/>
    </row>
    <row r="8" customFormat="false" ht="26.85" hidden="false" customHeight="false" outlineLevel="0" collapsed="false">
      <c r="A8" s="13" t="n">
        <v>4</v>
      </c>
      <c r="B8" s="30" t="n">
        <f aca="false">B7+7</f>
        <v>46328</v>
      </c>
      <c r="C8" s="13" t="str">
        <f aca="false">IFERROR(LOOKUP(B8,Phases!$B$5:$B$10,Phases!$A$5:$A$10),Phases!$A$5)</f>
        <v>0 November tests</v>
      </c>
      <c r="D8" s="13" t="s">
        <v>358</v>
      </c>
      <c r="E8" s="13" t="s">
        <v>357</v>
      </c>
      <c r="F8" s="15" t="n">
        <v>4</v>
      </c>
      <c r="G8" s="15" t="n">
        <v>6</v>
      </c>
      <c r="H8" s="15" t="n">
        <v>1</v>
      </c>
      <c r="I8" s="21" t="s">
        <v>61</v>
      </c>
      <c r="J8" s="16"/>
    </row>
    <row r="9" customFormat="false" ht="26.85" hidden="false" customHeight="false" outlineLevel="0" collapsed="false">
      <c r="A9" s="13" t="n">
        <v>5</v>
      </c>
      <c r="B9" s="30" t="n">
        <f aca="false">B8+7</f>
        <v>46335</v>
      </c>
      <c r="C9" s="13" t="str">
        <f aca="false">IFERROR(LOOKUP(B9,Phases!$B$5:$B$10,Phases!$A$5:$A$10),Phases!$A$5)</f>
        <v>1 Secure the content</v>
      </c>
      <c r="D9" s="13" t="s">
        <v>358</v>
      </c>
      <c r="E9" s="13" t="s">
        <v>357</v>
      </c>
      <c r="F9" s="15" t="n">
        <v>4</v>
      </c>
      <c r="G9" s="15" t="n">
        <v>6</v>
      </c>
      <c r="H9" s="15" t="n">
        <v>1</v>
      </c>
      <c r="I9" s="21" t="s">
        <v>61</v>
      </c>
      <c r="J9" s="16"/>
    </row>
    <row r="10" customFormat="false" ht="26.85" hidden="false" customHeight="false" outlineLevel="0" collapsed="false">
      <c r="A10" s="13" t="n">
        <v>6</v>
      </c>
      <c r="B10" s="30" t="n">
        <f aca="false">B9+7</f>
        <v>46342</v>
      </c>
      <c r="C10" s="13" t="str">
        <f aca="false">IFERROR(LOOKUP(B10,Phases!$B$5:$B$10,Phases!$A$5:$A$10),Phases!$A$5)</f>
        <v>1 Secure the content</v>
      </c>
      <c r="D10" s="13" t="s">
        <v>358</v>
      </c>
      <c r="E10" s="13" t="s">
        <v>357</v>
      </c>
      <c r="F10" s="15" t="n">
        <v>4</v>
      </c>
      <c r="G10" s="15" t="n">
        <v>6</v>
      </c>
      <c r="H10" s="15" t="n">
        <v>1</v>
      </c>
      <c r="I10" s="21" t="s">
        <v>61</v>
      </c>
      <c r="J10" s="16"/>
    </row>
    <row r="11" customFormat="false" ht="26.85" hidden="false" customHeight="false" outlineLevel="0" collapsed="false">
      <c r="A11" s="13" t="n">
        <v>7</v>
      </c>
      <c r="B11" s="30" t="n">
        <f aca="false">B10+7</f>
        <v>46349</v>
      </c>
      <c r="C11" s="13" t="str">
        <f aca="false">IFERROR(LOOKUP(B11,Phases!$B$5:$B$10,Phases!$A$5:$A$10),Phases!$A$5)</f>
        <v>1 Secure the content</v>
      </c>
      <c r="D11" s="13" t="s">
        <v>358</v>
      </c>
      <c r="E11" s="13" t="s">
        <v>357</v>
      </c>
      <c r="F11" s="15" t="n">
        <v>4</v>
      </c>
      <c r="G11" s="15" t="n">
        <v>6</v>
      </c>
      <c r="H11" s="15" t="n">
        <v>1</v>
      </c>
      <c r="I11" s="21" t="s">
        <v>61</v>
      </c>
      <c r="J11" s="16"/>
    </row>
    <row r="12" customFormat="false" ht="26.85" hidden="false" customHeight="false" outlineLevel="0" collapsed="false">
      <c r="A12" s="13" t="n">
        <v>8</v>
      </c>
      <c r="B12" s="30" t="n">
        <f aca="false">B11+7</f>
        <v>46356</v>
      </c>
      <c r="C12" s="13" t="str">
        <f aca="false">IFERROR(LOOKUP(B12,Phases!$B$5:$B$10,Phases!$A$5:$A$10),Phases!$A$5)</f>
        <v>1 Secure the content</v>
      </c>
      <c r="D12" s="13" t="s">
        <v>358</v>
      </c>
      <c r="E12" s="13" t="s">
        <v>357</v>
      </c>
      <c r="F12" s="15" t="n">
        <v>4</v>
      </c>
      <c r="G12" s="15" t="n">
        <v>6</v>
      </c>
      <c r="H12" s="15" t="n">
        <v>1</v>
      </c>
      <c r="I12" s="21" t="s">
        <v>61</v>
      </c>
      <c r="J12" s="16"/>
    </row>
    <row r="13" customFormat="false" ht="26.85" hidden="false" customHeight="false" outlineLevel="0" collapsed="false">
      <c r="A13" s="13" t="n">
        <v>9</v>
      </c>
      <c r="B13" s="30" t="n">
        <f aca="false">B12+7</f>
        <v>46363</v>
      </c>
      <c r="C13" s="13" t="str">
        <f aca="false">IFERROR(LOOKUP(B13,Phases!$B$5:$B$10,Phases!$A$5:$A$10),Phases!$A$5)</f>
        <v>1 Secure the content</v>
      </c>
      <c r="D13" s="13" t="s">
        <v>358</v>
      </c>
      <c r="E13" s="13" t="s">
        <v>357</v>
      </c>
      <c r="F13" s="15" t="n">
        <v>4</v>
      </c>
      <c r="G13" s="15" t="n">
        <v>6</v>
      </c>
      <c r="H13" s="15" t="n">
        <v>1</v>
      </c>
      <c r="I13" s="21" t="s">
        <v>61</v>
      </c>
      <c r="J13" s="16"/>
    </row>
    <row r="14" customFormat="false" ht="39.55" hidden="false" customHeight="false" outlineLevel="0" collapsed="false">
      <c r="A14" s="13" t="n">
        <v>10</v>
      </c>
      <c r="B14" s="30" t="n">
        <f aca="false">B13+7</f>
        <v>46370</v>
      </c>
      <c r="C14" s="13" t="str">
        <f aca="false">IFERROR(LOOKUP(B14,Phases!$B$5:$B$10,Phases!$A$5:$A$10),Phases!$A$5)</f>
        <v>2 Mocks: prep and sit them</v>
      </c>
      <c r="D14" s="13" t="s">
        <v>359</v>
      </c>
      <c r="E14" s="13" t="s">
        <v>357</v>
      </c>
      <c r="F14" s="15" t="n">
        <v>3</v>
      </c>
      <c r="G14" s="15" t="n">
        <v>3</v>
      </c>
      <c r="H14" s="15" t="n">
        <v>5</v>
      </c>
      <c r="I14" s="21" t="s">
        <v>61</v>
      </c>
      <c r="J14" s="16"/>
    </row>
    <row r="15" customFormat="false" ht="39.55" hidden="false" customHeight="false" outlineLevel="0" collapsed="false">
      <c r="A15" s="13" t="n">
        <v>11</v>
      </c>
      <c r="B15" s="30" t="n">
        <f aca="false">B14+7</f>
        <v>46377</v>
      </c>
      <c r="C15" s="13" t="str">
        <f aca="false">IFERROR(LOOKUP(B15,Phases!$B$5:$B$10,Phases!$A$5:$A$10),Phases!$A$5)</f>
        <v>2 Mocks: prep and sit them</v>
      </c>
      <c r="D15" s="13" t="s">
        <v>359</v>
      </c>
      <c r="E15" s="13" t="s">
        <v>357</v>
      </c>
      <c r="F15" s="15" t="n">
        <v>3</v>
      </c>
      <c r="G15" s="15" t="n">
        <v>3</v>
      </c>
      <c r="H15" s="15" t="n">
        <v>5</v>
      </c>
      <c r="I15" s="21" t="s">
        <v>61</v>
      </c>
      <c r="J15" s="16"/>
    </row>
    <row r="16" customFormat="false" ht="39.55" hidden="false" customHeight="false" outlineLevel="0" collapsed="false">
      <c r="A16" s="13" t="n">
        <v>12</v>
      </c>
      <c r="B16" s="30" t="n">
        <f aca="false">B15+7</f>
        <v>46384</v>
      </c>
      <c r="C16" s="13" t="str">
        <f aca="false">IFERROR(LOOKUP(B16,Phases!$B$5:$B$10,Phases!$A$5:$A$10),Phases!$A$5)</f>
        <v>2 Mocks: prep and sit them</v>
      </c>
      <c r="D16" s="13" t="s">
        <v>359</v>
      </c>
      <c r="E16" s="13" t="s">
        <v>357</v>
      </c>
      <c r="F16" s="15" t="n">
        <v>3</v>
      </c>
      <c r="G16" s="15" t="n">
        <v>3</v>
      </c>
      <c r="H16" s="15" t="n">
        <v>5</v>
      </c>
      <c r="I16" s="21" t="s">
        <v>61</v>
      </c>
      <c r="J16" s="16"/>
    </row>
    <row r="17" customFormat="false" ht="39.55" hidden="false" customHeight="false" outlineLevel="0" collapsed="false">
      <c r="A17" s="13" t="n">
        <v>13</v>
      </c>
      <c r="B17" s="30" t="n">
        <f aca="false">B16+7</f>
        <v>46391</v>
      </c>
      <c r="C17" s="13" t="str">
        <f aca="false">IFERROR(LOOKUP(B17,Phases!$B$5:$B$10,Phases!$A$5:$A$10),Phases!$A$5)</f>
        <v>2 Mocks: prep and sit them</v>
      </c>
      <c r="D17" s="13" t="s">
        <v>359</v>
      </c>
      <c r="E17" s="13" t="s">
        <v>357</v>
      </c>
      <c r="F17" s="15" t="n">
        <v>3</v>
      </c>
      <c r="G17" s="15" t="n">
        <v>3</v>
      </c>
      <c r="H17" s="15" t="n">
        <v>5</v>
      </c>
      <c r="I17" s="21" t="s">
        <v>61</v>
      </c>
      <c r="J17" s="16"/>
    </row>
    <row r="18" customFormat="false" ht="39.55" hidden="false" customHeight="false" outlineLevel="0" collapsed="false">
      <c r="A18" s="13" t="n">
        <v>14</v>
      </c>
      <c r="B18" s="30" t="n">
        <f aca="false">B17+7</f>
        <v>46398</v>
      </c>
      <c r="C18" s="13" t="str">
        <f aca="false">IFERROR(LOOKUP(B18,Phases!$B$5:$B$10,Phases!$A$5:$A$10),Phases!$A$5)</f>
        <v>2 Mocks: prep and sit them</v>
      </c>
      <c r="D18" s="13" t="s">
        <v>359</v>
      </c>
      <c r="E18" s="13" t="s">
        <v>357</v>
      </c>
      <c r="F18" s="15" t="n">
        <v>3</v>
      </c>
      <c r="G18" s="15" t="n">
        <v>3</v>
      </c>
      <c r="H18" s="15" t="n">
        <v>5</v>
      </c>
      <c r="I18" s="21" t="s">
        <v>61</v>
      </c>
      <c r="J18" s="16"/>
    </row>
    <row r="19" customFormat="false" ht="26.85" hidden="false" customHeight="false" outlineLevel="0" collapsed="false">
      <c r="A19" s="13" t="n">
        <v>15</v>
      </c>
      <c r="B19" s="30" t="n">
        <f aca="false">B18+7</f>
        <v>46405</v>
      </c>
      <c r="C19" s="13" t="str">
        <f aca="false">IFERROR(LOOKUP(B19,Phases!$B$5:$B$10,Phases!$A$5:$A$10),Phases!$A$5)</f>
        <v>3 Exam practice</v>
      </c>
      <c r="D19" s="13" t="s">
        <v>360</v>
      </c>
      <c r="E19" s="13" t="s">
        <v>357</v>
      </c>
      <c r="F19" s="15" t="n">
        <v>2</v>
      </c>
      <c r="G19" s="15" t="n">
        <v>4</v>
      </c>
      <c r="H19" s="15" t="n">
        <v>6</v>
      </c>
      <c r="I19" s="21" t="s">
        <v>61</v>
      </c>
      <c r="J19" s="16"/>
    </row>
    <row r="20" customFormat="false" ht="26.85" hidden="false" customHeight="false" outlineLevel="0" collapsed="false">
      <c r="A20" s="13" t="n">
        <v>16</v>
      </c>
      <c r="B20" s="30" t="n">
        <f aca="false">B19+7</f>
        <v>46412</v>
      </c>
      <c r="C20" s="13" t="str">
        <f aca="false">IFERROR(LOOKUP(B20,Phases!$B$5:$B$10,Phases!$A$5:$A$10),Phases!$A$5)</f>
        <v>3 Exam practice</v>
      </c>
      <c r="D20" s="13" t="s">
        <v>360</v>
      </c>
      <c r="E20" s="13" t="s">
        <v>357</v>
      </c>
      <c r="F20" s="15" t="n">
        <v>2</v>
      </c>
      <c r="G20" s="15" t="n">
        <v>4</v>
      </c>
      <c r="H20" s="15" t="n">
        <v>6</v>
      </c>
      <c r="I20" s="21" t="s">
        <v>61</v>
      </c>
      <c r="J20" s="16"/>
    </row>
    <row r="21" customFormat="false" ht="26.85" hidden="false" customHeight="false" outlineLevel="0" collapsed="false">
      <c r="A21" s="13" t="n">
        <v>17</v>
      </c>
      <c r="B21" s="30" t="n">
        <f aca="false">B20+7</f>
        <v>46419</v>
      </c>
      <c r="C21" s="13" t="str">
        <f aca="false">IFERROR(LOOKUP(B21,Phases!$B$5:$B$10,Phases!$A$5:$A$10),Phases!$A$5)</f>
        <v>3 Exam practice</v>
      </c>
      <c r="D21" s="13" t="s">
        <v>360</v>
      </c>
      <c r="E21" s="13" t="s">
        <v>357</v>
      </c>
      <c r="F21" s="15" t="n">
        <v>2</v>
      </c>
      <c r="G21" s="15" t="n">
        <v>4</v>
      </c>
      <c r="H21" s="15" t="n">
        <v>6</v>
      </c>
      <c r="I21" s="21" t="s">
        <v>61</v>
      </c>
      <c r="J21" s="16"/>
    </row>
    <row r="22" customFormat="false" ht="26.85" hidden="false" customHeight="false" outlineLevel="0" collapsed="false">
      <c r="A22" s="13" t="n">
        <v>18</v>
      </c>
      <c r="B22" s="30" t="n">
        <f aca="false">B21+7</f>
        <v>46426</v>
      </c>
      <c r="C22" s="13" t="str">
        <f aca="false">IFERROR(LOOKUP(B22,Phases!$B$5:$B$10,Phases!$A$5:$A$10),Phases!$A$5)</f>
        <v>3 Exam practice</v>
      </c>
      <c r="D22" s="13" t="s">
        <v>360</v>
      </c>
      <c r="E22" s="13" t="s">
        <v>357</v>
      </c>
      <c r="F22" s="15" t="n">
        <v>2</v>
      </c>
      <c r="G22" s="15" t="n">
        <v>4</v>
      </c>
      <c r="H22" s="15" t="n">
        <v>6</v>
      </c>
      <c r="I22" s="21" t="s">
        <v>61</v>
      </c>
      <c r="J22" s="16"/>
    </row>
    <row r="23" customFormat="false" ht="26.85" hidden="false" customHeight="false" outlineLevel="0" collapsed="false">
      <c r="A23" s="13" t="n">
        <v>19</v>
      </c>
      <c r="B23" s="30" t="n">
        <f aca="false">B22+7</f>
        <v>46433</v>
      </c>
      <c r="C23" s="13" t="str">
        <f aca="false">IFERROR(LOOKUP(B23,Phases!$B$5:$B$10,Phases!$A$5:$A$10),Phases!$A$5)</f>
        <v>3 Exam practice</v>
      </c>
      <c r="D23" s="13" t="s">
        <v>360</v>
      </c>
      <c r="E23" s="13" t="s">
        <v>357</v>
      </c>
      <c r="F23" s="15" t="n">
        <v>2</v>
      </c>
      <c r="G23" s="15" t="n">
        <v>4</v>
      </c>
      <c r="H23" s="15" t="n">
        <v>6</v>
      </c>
      <c r="I23" s="21" t="s">
        <v>61</v>
      </c>
      <c r="J23" s="16"/>
    </row>
    <row r="24" customFormat="false" ht="26.85" hidden="false" customHeight="false" outlineLevel="0" collapsed="false">
      <c r="A24" s="13" t="n">
        <v>20</v>
      </c>
      <c r="B24" s="30" t="n">
        <f aca="false">B23+7</f>
        <v>46440</v>
      </c>
      <c r="C24" s="13" t="str">
        <f aca="false">IFERROR(LOOKUP(B24,Phases!$B$5:$B$10,Phases!$A$5:$A$10),Phases!$A$5)</f>
        <v>3 Exam practice</v>
      </c>
      <c r="D24" s="13" t="s">
        <v>360</v>
      </c>
      <c r="E24" s="13" t="s">
        <v>357</v>
      </c>
      <c r="F24" s="15" t="n">
        <v>2</v>
      </c>
      <c r="G24" s="15" t="n">
        <v>4</v>
      </c>
      <c r="H24" s="15" t="n">
        <v>6</v>
      </c>
      <c r="I24" s="21" t="s">
        <v>61</v>
      </c>
      <c r="J24" s="16"/>
    </row>
    <row r="25" customFormat="false" ht="26.85" hidden="false" customHeight="false" outlineLevel="0" collapsed="false">
      <c r="A25" s="13" t="n">
        <v>21</v>
      </c>
      <c r="B25" s="30" t="n">
        <f aca="false">B24+7</f>
        <v>46447</v>
      </c>
      <c r="C25" s="13" t="str">
        <f aca="false">IFERROR(LOOKUP(B25,Phases!$B$5:$B$10,Phases!$A$5:$A$10),Phases!$A$5)</f>
        <v>3 Exam practice</v>
      </c>
      <c r="D25" s="13" t="s">
        <v>360</v>
      </c>
      <c r="E25" s="13" t="s">
        <v>357</v>
      </c>
      <c r="F25" s="15" t="n">
        <v>2</v>
      </c>
      <c r="G25" s="15" t="n">
        <v>4</v>
      </c>
      <c r="H25" s="15" t="n">
        <v>6</v>
      </c>
      <c r="I25" s="21" t="s">
        <v>61</v>
      </c>
      <c r="J25" s="16"/>
    </row>
    <row r="26" customFormat="false" ht="26.85" hidden="false" customHeight="false" outlineLevel="0" collapsed="false">
      <c r="A26" s="13" t="n">
        <v>22</v>
      </c>
      <c r="B26" s="30" t="n">
        <f aca="false">B25+7</f>
        <v>46454</v>
      </c>
      <c r="C26" s="13" t="str">
        <f aca="false">IFERROR(LOOKUP(B26,Phases!$B$5:$B$10,Phases!$A$5:$A$10),Phases!$A$5)</f>
        <v>3 Exam practice</v>
      </c>
      <c r="D26" s="13" t="s">
        <v>360</v>
      </c>
      <c r="E26" s="13" t="s">
        <v>357</v>
      </c>
      <c r="F26" s="15" t="n">
        <v>2</v>
      </c>
      <c r="G26" s="15" t="n">
        <v>4</v>
      </c>
      <c r="H26" s="15" t="n">
        <v>6</v>
      </c>
      <c r="I26" s="21" t="s">
        <v>61</v>
      </c>
      <c r="J26" s="16"/>
    </row>
    <row r="27" customFormat="false" ht="26.85" hidden="false" customHeight="false" outlineLevel="0" collapsed="false">
      <c r="A27" s="13" t="n">
        <v>23</v>
      </c>
      <c r="B27" s="30" t="n">
        <f aca="false">B26+7</f>
        <v>46461</v>
      </c>
      <c r="C27" s="13" t="str">
        <f aca="false">IFERROR(LOOKUP(B27,Phases!$B$5:$B$10,Phases!$A$5:$A$10),Phases!$A$5)</f>
        <v>3 Exam practice</v>
      </c>
      <c r="D27" s="13" t="s">
        <v>360</v>
      </c>
      <c r="E27" s="13" t="s">
        <v>357</v>
      </c>
      <c r="F27" s="15" t="n">
        <v>2</v>
      </c>
      <c r="G27" s="15" t="n">
        <v>4</v>
      </c>
      <c r="H27" s="15" t="n">
        <v>6</v>
      </c>
      <c r="I27" s="21" t="s">
        <v>61</v>
      </c>
      <c r="J27" s="16"/>
    </row>
    <row r="28" customFormat="false" ht="26.85" hidden="false" customHeight="false" outlineLevel="0" collapsed="false">
      <c r="A28" s="13" t="n">
        <v>24</v>
      </c>
      <c r="B28" s="30" t="n">
        <f aca="false">B27+7</f>
        <v>46468</v>
      </c>
      <c r="C28" s="13" t="str">
        <f aca="false">IFERROR(LOOKUP(B28,Phases!$B$5:$B$10,Phases!$A$5:$A$10),Phases!$A$5)</f>
        <v>3 Exam practice</v>
      </c>
      <c r="D28" s="13" t="s">
        <v>360</v>
      </c>
      <c r="E28" s="13" t="s">
        <v>357</v>
      </c>
      <c r="F28" s="15" t="n">
        <v>2</v>
      </c>
      <c r="G28" s="15" t="n">
        <v>4</v>
      </c>
      <c r="H28" s="15" t="n">
        <v>6</v>
      </c>
      <c r="I28" s="21" t="s">
        <v>61</v>
      </c>
      <c r="J28" s="16"/>
    </row>
    <row r="29" customFormat="false" ht="26.85" hidden="false" customHeight="false" outlineLevel="0" collapsed="false">
      <c r="A29" s="13" t="n">
        <v>25</v>
      </c>
      <c r="B29" s="30" t="n">
        <f aca="false">B28+7</f>
        <v>46475</v>
      </c>
      <c r="C29" s="13" t="str">
        <f aca="false">IFERROR(LOOKUP(B29,Phases!$B$5:$B$10,Phases!$A$5:$A$10),Phases!$A$5)</f>
        <v>4 Easter intensive</v>
      </c>
      <c r="D29" s="13" t="s">
        <v>361</v>
      </c>
      <c r="E29" s="13" t="s">
        <v>357</v>
      </c>
      <c r="F29" s="15" t="n">
        <v>1</v>
      </c>
      <c r="G29" s="15" t="n">
        <v>2</v>
      </c>
      <c r="H29" s="15" t="n">
        <v>10</v>
      </c>
      <c r="I29" s="21" t="s">
        <v>61</v>
      </c>
      <c r="J29" s="16"/>
    </row>
    <row r="30" customFormat="false" ht="26.85" hidden="false" customHeight="false" outlineLevel="0" collapsed="false">
      <c r="A30" s="13" t="n">
        <v>26</v>
      </c>
      <c r="B30" s="30" t="n">
        <f aca="false">B29+7</f>
        <v>46482</v>
      </c>
      <c r="C30" s="13" t="str">
        <f aca="false">IFERROR(LOOKUP(B30,Phases!$B$5:$B$10,Phases!$A$5:$A$10),Phases!$A$5)</f>
        <v>4 Easter intensive</v>
      </c>
      <c r="D30" s="13" t="s">
        <v>361</v>
      </c>
      <c r="E30" s="13" t="s">
        <v>357</v>
      </c>
      <c r="F30" s="15" t="n">
        <v>1</v>
      </c>
      <c r="G30" s="15" t="n">
        <v>2</v>
      </c>
      <c r="H30" s="15" t="n">
        <v>10</v>
      </c>
      <c r="I30" s="21" t="s">
        <v>61</v>
      </c>
      <c r="J30" s="16"/>
    </row>
    <row r="31" customFormat="false" ht="26.85" hidden="false" customHeight="false" outlineLevel="0" collapsed="false">
      <c r="A31" s="13" t="n">
        <v>27</v>
      </c>
      <c r="B31" s="30" t="n">
        <f aca="false">B30+7</f>
        <v>46489</v>
      </c>
      <c r="C31" s="13" t="str">
        <f aca="false">IFERROR(LOOKUP(B31,Phases!$B$5:$B$10,Phases!$A$5:$A$10),Phases!$A$5)</f>
        <v>4 Easter intensive</v>
      </c>
      <c r="D31" s="13" t="s">
        <v>361</v>
      </c>
      <c r="E31" s="13" t="s">
        <v>357</v>
      </c>
      <c r="F31" s="15" t="n">
        <v>1</v>
      </c>
      <c r="G31" s="15" t="n">
        <v>2</v>
      </c>
      <c r="H31" s="15" t="n">
        <v>10</v>
      </c>
      <c r="I31" s="21" t="s">
        <v>61</v>
      </c>
      <c r="J31" s="16"/>
    </row>
    <row r="32" customFormat="false" ht="26.85" hidden="false" customHeight="false" outlineLevel="0" collapsed="false">
      <c r="A32" s="13" t="n">
        <v>28</v>
      </c>
      <c r="B32" s="30" t="n">
        <f aca="false">B31+7</f>
        <v>46496</v>
      </c>
      <c r="C32" s="13" t="str">
        <f aca="false">IFERROR(LOOKUP(B32,Phases!$B$5:$B$10,Phases!$A$5:$A$10),Phases!$A$5)</f>
        <v>5 Exam season</v>
      </c>
      <c r="D32" s="13" t="s">
        <v>362</v>
      </c>
      <c r="E32" s="13" t="s">
        <v>363</v>
      </c>
      <c r="F32" s="15" t="n">
        <v>1</v>
      </c>
      <c r="G32" s="15" t="n">
        <v>1</v>
      </c>
      <c r="H32" s="15" t="n">
        <v>6</v>
      </c>
      <c r="I32" s="21" t="s">
        <v>61</v>
      </c>
      <c r="J32" s="16"/>
    </row>
    <row r="33" customFormat="false" ht="26.85" hidden="false" customHeight="false" outlineLevel="0" collapsed="false">
      <c r="A33" s="13" t="n">
        <v>29</v>
      </c>
      <c r="B33" s="30" t="n">
        <f aca="false">B32+7</f>
        <v>46503</v>
      </c>
      <c r="C33" s="13" t="str">
        <f aca="false">IFERROR(LOOKUP(B33,Phases!$B$5:$B$10,Phases!$A$5:$A$10),Phases!$A$5)</f>
        <v>5 Exam season</v>
      </c>
      <c r="D33" s="13" t="s">
        <v>362</v>
      </c>
      <c r="E33" s="13" t="s">
        <v>363</v>
      </c>
      <c r="F33" s="15" t="n">
        <v>1</v>
      </c>
      <c r="G33" s="15" t="n">
        <v>1</v>
      </c>
      <c r="H33" s="15" t="n">
        <v>6</v>
      </c>
      <c r="I33" s="21" t="s">
        <v>61</v>
      </c>
      <c r="J33" s="16"/>
    </row>
    <row r="34" customFormat="false" ht="26.85" hidden="false" customHeight="false" outlineLevel="0" collapsed="false">
      <c r="A34" s="13" t="n">
        <v>30</v>
      </c>
      <c r="B34" s="30" t="n">
        <f aca="false">B33+7</f>
        <v>46510</v>
      </c>
      <c r="C34" s="13" t="str">
        <f aca="false">IFERROR(LOOKUP(B34,Phases!$B$5:$B$10,Phases!$A$5:$A$10),Phases!$A$5)</f>
        <v>5 Exam season</v>
      </c>
      <c r="D34" s="13" t="s">
        <v>362</v>
      </c>
      <c r="E34" s="13" t="s">
        <v>363</v>
      </c>
      <c r="F34" s="15" t="n">
        <v>1</v>
      </c>
      <c r="G34" s="15" t="n">
        <v>1</v>
      </c>
      <c r="H34" s="15" t="n">
        <v>6</v>
      </c>
      <c r="I34" s="21" t="s">
        <v>61</v>
      </c>
      <c r="J34" s="16"/>
    </row>
    <row r="35" customFormat="false" ht="26.85" hidden="false" customHeight="false" outlineLevel="0" collapsed="false">
      <c r="A35" s="13" t="n">
        <v>31</v>
      </c>
      <c r="B35" s="30" t="n">
        <f aca="false">B34+7</f>
        <v>46517</v>
      </c>
      <c r="C35" s="13" t="str">
        <f aca="false">IFERROR(LOOKUP(B35,Phases!$B$5:$B$10,Phases!$A$5:$A$10),Phases!$A$5)</f>
        <v>5 Exam season</v>
      </c>
      <c r="D35" s="13" t="s">
        <v>362</v>
      </c>
      <c r="E35" s="13" t="s">
        <v>363</v>
      </c>
      <c r="F35" s="15" t="n">
        <v>1</v>
      </c>
      <c r="G35" s="15" t="n">
        <v>1</v>
      </c>
      <c r="H35" s="15" t="n">
        <v>6</v>
      </c>
      <c r="I35" s="21" t="s">
        <v>61</v>
      </c>
      <c r="J35" s="16"/>
    </row>
    <row r="36" customFormat="false" ht="26.85" hidden="false" customHeight="false" outlineLevel="0" collapsed="false">
      <c r="A36" s="13" t="n">
        <v>32</v>
      </c>
      <c r="B36" s="30" t="n">
        <f aca="false">B35+7</f>
        <v>46524</v>
      </c>
      <c r="C36" s="13" t="str">
        <f aca="false">IFERROR(LOOKUP(B36,Phases!$B$5:$B$10,Phases!$A$5:$A$10),Phases!$A$5)</f>
        <v>5 Exam season</v>
      </c>
      <c r="D36" s="13" t="s">
        <v>362</v>
      </c>
      <c r="E36" s="13" t="s">
        <v>363</v>
      </c>
      <c r="F36" s="15" t="n">
        <v>1</v>
      </c>
      <c r="G36" s="15" t="n">
        <v>1</v>
      </c>
      <c r="H36" s="15" t="n">
        <v>6</v>
      </c>
      <c r="I36" s="21" t="s">
        <v>61</v>
      </c>
      <c r="J36" s="16"/>
    </row>
    <row r="37" customFormat="false" ht="26.85" hidden="false" customHeight="false" outlineLevel="0" collapsed="false">
      <c r="A37" s="13" t="n">
        <v>33</v>
      </c>
      <c r="B37" s="30" t="n">
        <f aca="false">B36+7</f>
        <v>46531</v>
      </c>
      <c r="C37" s="13" t="str">
        <f aca="false">IFERROR(LOOKUP(B37,Phases!$B$5:$B$10,Phases!$A$5:$A$10),Phases!$A$5)</f>
        <v>5 Exam season</v>
      </c>
      <c r="D37" s="13" t="s">
        <v>362</v>
      </c>
      <c r="E37" s="13" t="s">
        <v>363</v>
      </c>
      <c r="F37" s="15" t="n">
        <v>1</v>
      </c>
      <c r="G37" s="15" t="n">
        <v>1</v>
      </c>
      <c r="H37" s="15" t="n">
        <v>6</v>
      </c>
      <c r="I37" s="21" t="s">
        <v>61</v>
      </c>
      <c r="J37" s="16"/>
    </row>
    <row r="38" customFormat="false" ht="26.85" hidden="false" customHeight="false" outlineLevel="0" collapsed="false">
      <c r="A38" s="13" t="n">
        <v>34</v>
      </c>
      <c r="B38" s="30" t="n">
        <f aca="false">B37+7</f>
        <v>46538</v>
      </c>
      <c r="C38" s="13" t="str">
        <f aca="false">IFERROR(LOOKUP(B38,Phases!$B$5:$B$10,Phases!$A$5:$A$10),Phases!$A$5)</f>
        <v>5 Exam season</v>
      </c>
      <c r="D38" s="13" t="s">
        <v>362</v>
      </c>
      <c r="E38" s="13" t="s">
        <v>363</v>
      </c>
      <c r="F38" s="15" t="n">
        <v>1</v>
      </c>
      <c r="G38" s="15" t="n">
        <v>1</v>
      </c>
      <c r="H38" s="15" t="n">
        <v>6</v>
      </c>
      <c r="I38" s="21" t="s">
        <v>61</v>
      </c>
      <c r="J38" s="16"/>
    </row>
    <row r="39" customFormat="false" ht="26.85" hidden="false" customHeight="false" outlineLevel="0" collapsed="false">
      <c r="A39" s="13" t="n">
        <v>35</v>
      </c>
      <c r="B39" s="30" t="n">
        <f aca="false">B38+7</f>
        <v>46545</v>
      </c>
      <c r="C39" s="13" t="str">
        <f aca="false">IFERROR(LOOKUP(B39,Phases!$B$5:$B$10,Phases!$A$5:$A$10),Phases!$A$5)</f>
        <v>5 Exam season</v>
      </c>
      <c r="D39" s="13" t="s">
        <v>362</v>
      </c>
      <c r="E39" s="13" t="s">
        <v>363</v>
      </c>
      <c r="F39" s="15" t="n">
        <v>1</v>
      </c>
      <c r="G39" s="15" t="n">
        <v>1</v>
      </c>
      <c r="H39" s="15" t="n">
        <v>6</v>
      </c>
      <c r="I39" s="21" t="s">
        <v>61</v>
      </c>
      <c r="J39" s="16"/>
    </row>
    <row r="40" customFormat="false" ht="26.85" hidden="false" customHeight="false" outlineLevel="0" collapsed="false">
      <c r="A40" s="13" t="n">
        <v>36</v>
      </c>
      <c r="B40" s="30" t="n">
        <f aca="false">B39+7</f>
        <v>46552</v>
      </c>
      <c r="C40" s="13" t="str">
        <f aca="false">IFERROR(LOOKUP(B40,Phases!$B$5:$B$10,Phases!$A$5:$A$10),Phases!$A$5)</f>
        <v>5 Exam season</v>
      </c>
      <c r="D40" s="13" t="s">
        <v>362</v>
      </c>
      <c r="E40" s="13" t="s">
        <v>363</v>
      </c>
      <c r="F40" s="15" t="n">
        <v>1</v>
      </c>
      <c r="G40" s="15" t="n">
        <v>1</v>
      </c>
      <c r="H40" s="15" t="n">
        <v>6</v>
      </c>
      <c r="I40" s="21" t="s">
        <v>61</v>
      </c>
      <c r="J40" s="16"/>
    </row>
    <row r="42" customFormat="false" ht="15" hidden="false" customHeight="false" outlineLevel="0" collapsed="false">
      <c r="A42" s="6" t="s">
        <v>364</v>
      </c>
      <c r="C42" s="10" t="str">
        <f aca="false">COUNTIF(I5:I40,"Yes")&amp;" of "&amp;COUNTA(A5:A40)</f>
        <v>0 of 36</v>
      </c>
    </row>
    <row r="43" customFormat="false" ht="15" hidden="false" customHeight="false" outlineLevel="0" collapsed="false">
      <c r="A43" s="6" t="s">
        <v>365</v>
      </c>
      <c r="F43" s="6" t="n">
        <f aca="false">SUM(F5:F40)</f>
        <v>86</v>
      </c>
      <c r="G43" s="6" t="n">
        <f aca="false">SUM(G5:G40)</f>
        <v>118</v>
      </c>
      <c r="H43" s="6" t="n">
        <f aca="false">SUM(H5:H40)</f>
        <v>181</v>
      </c>
    </row>
  </sheetData>
  <conditionalFormatting sqref="A5:J40">
    <cfRule type="expression" priority="2" aboveAverage="0" equalAverage="0" bottom="0" percent="0" rank="0" text="" dxfId="1">
      <formula>$I5="Yes"</formula>
    </cfRule>
  </conditionalFormatting>
  <dataValidations count="1">
    <dataValidation allowBlank="true" errorStyle="stop" operator="between" showDropDown="false" showErrorMessage="false" showInputMessage="false" sqref="I5:I4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50"/>
    <col collapsed="false" customWidth="true" hidden="false" outlineLevel="0" max="4" min="4" style="0" width="42"/>
    <col collapsed="false" customWidth="true" hidden="false" outlineLevel="0" max="5" min="5" style="0" width="34"/>
  </cols>
  <sheetData>
    <row r="1" customFormat="false" ht="19.7" hidden="false" customHeight="false" outlineLevel="0" collapsed="false">
      <c r="A1" s="1" t="s">
        <v>366</v>
      </c>
    </row>
    <row r="2" customFormat="false" ht="15" hidden="false" customHeight="false" outlineLevel="0" collapsed="false">
      <c r="A2" s="2" t="s">
        <v>367</v>
      </c>
    </row>
    <row r="4" customFormat="false" ht="15" hidden="false" customHeight="false" outlineLevel="0" collapsed="false">
      <c r="A4" s="12" t="s">
        <v>368</v>
      </c>
      <c r="B4" s="12" t="s">
        <v>369</v>
      </c>
      <c r="C4" s="12" t="s">
        <v>370</v>
      </c>
      <c r="D4" s="12" t="s">
        <v>371</v>
      </c>
      <c r="E4" s="12" t="s">
        <v>372</v>
      </c>
    </row>
    <row r="5" customFormat="false" ht="39.55" hidden="false" customHeight="false" outlineLevel="0" collapsed="false">
      <c r="A5" s="22" t="s">
        <v>373</v>
      </c>
      <c r="B5" s="13" t="s">
        <v>374</v>
      </c>
      <c r="C5" s="13" t="s">
        <v>375</v>
      </c>
      <c r="D5" s="13" t="s">
        <v>376</v>
      </c>
      <c r="E5" s="13" t="s">
        <v>377</v>
      </c>
    </row>
    <row r="6" customFormat="false" ht="26.85" hidden="false" customHeight="false" outlineLevel="0" collapsed="false">
      <c r="A6" s="22" t="s">
        <v>378</v>
      </c>
      <c r="B6" s="13" t="s">
        <v>379</v>
      </c>
      <c r="C6" s="13" t="s">
        <v>380</v>
      </c>
      <c r="D6" s="13" t="s">
        <v>381</v>
      </c>
      <c r="E6" s="13" t="s">
        <v>382</v>
      </c>
    </row>
    <row r="7" customFormat="false" ht="26.85" hidden="false" customHeight="false" outlineLevel="0" collapsed="false">
      <c r="A7" s="22" t="s">
        <v>383</v>
      </c>
      <c r="B7" s="13" t="s">
        <v>384</v>
      </c>
      <c r="C7" s="13" t="s">
        <v>385</v>
      </c>
      <c r="D7" s="13" t="s">
        <v>386</v>
      </c>
      <c r="E7" s="13" t="s">
        <v>387</v>
      </c>
    </row>
    <row r="8" customFormat="false" ht="26.85" hidden="false" customHeight="false" outlineLevel="0" collapsed="false">
      <c r="A8" s="22" t="s">
        <v>388</v>
      </c>
      <c r="B8" s="13" t="s">
        <v>389</v>
      </c>
      <c r="C8" s="13" t="s">
        <v>390</v>
      </c>
      <c r="D8" s="13" t="s">
        <v>391</v>
      </c>
      <c r="E8" s="13" t="s">
        <v>392</v>
      </c>
    </row>
    <row r="9" customFormat="false" ht="26.85" hidden="false" customHeight="false" outlineLevel="0" collapsed="false">
      <c r="A9" s="22" t="s">
        <v>393</v>
      </c>
      <c r="B9" s="13" t="s">
        <v>394</v>
      </c>
      <c r="C9" s="13" t="s">
        <v>395</v>
      </c>
      <c r="D9" s="13" t="s">
        <v>396</v>
      </c>
      <c r="E9" s="13" t="s">
        <v>397</v>
      </c>
    </row>
    <row r="10" customFormat="false" ht="26.85" hidden="false" customHeight="false" outlineLevel="0" collapsed="false">
      <c r="A10" s="22" t="s">
        <v>398</v>
      </c>
      <c r="B10" s="13" t="s">
        <v>399</v>
      </c>
      <c r="C10" s="13" t="s">
        <v>400</v>
      </c>
      <c r="D10" s="13" t="s">
        <v>401</v>
      </c>
      <c r="E10" s="13" t="s">
        <v>402</v>
      </c>
    </row>
    <row r="13" customFormat="false" ht="15" hidden="false" customHeight="false" outlineLevel="0" collapsed="false">
      <c r="A13" s="3" t="s">
        <v>403</v>
      </c>
    </row>
    <row r="14" customFormat="false" ht="15" hidden="false" customHeight="true" outlineLevel="0" collapsed="false">
      <c r="A14" s="10" t="s">
        <v>404</v>
      </c>
      <c r="B14" s="31" t="s">
        <v>405</v>
      </c>
      <c r="C14" s="31"/>
      <c r="D14" s="31"/>
      <c r="E14" s="31"/>
    </row>
    <row r="15" customFormat="false" ht="15" hidden="false" customHeight="true" outlineLevel="0" collapsed="false">
      <c r="A15" s="10" t="s">
        <v>404</v>
      </c>
      <c r="B15" s="31" t="s">
        <v>406</v>
      </c>
      <c r="C15" s="31"/>
      <c r="D15" s="31"/>
      <c r="E15" s="31"/>
    </row>
    <row r="16" customFormat="false" ht="15" hidden="false" customHeight="true" outlineLevel="0" collapsed="false">
      <c r="A16" s="10" t="s">
        <v>404</v>
      </c>
      <c r="B16" s="31" t="s">
        <v>407</v>
      </c>
      <c r="C16" s="31"/>
      <c r="D16" s="31"/>
      <c r="E16" s="31"/>
    </row>
    <row r="17" customFormat="false" ht="15" hidden="false" customHeight="true" outlineLevel="0" collapsed="false">
      <c r="A17" s="10" t="s">
        <v>404</v>
      </c>
      <c r="B17" s="31" t="s">
        <v>408</v>
      </c>
      <c r="C17" s="31"/>
      <c r="D17" s="31"/>
      <c r="E17" s="31"/>
    </row>
  </sheetData>
  <mergeCells count="4">
    <mergeCell ref="B14:E14"/>
    <mergeCell ref="B15:E15"/>
    <mergeCell ref="B16:E16"/>
    <mergeCell ref="B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2026-10-14T17:02:26Z</dcterms:created>
  <dc:creator>openpyxl</dc:creator>
  <dc:description/>
  <dc:language>en-US</dc:language>
  <cp:lastModifiedBy/>
  <dcterms:modified xsi:type="dcterms:W3CDTF">2026-10-14T17:02:27Z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